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cho Andrade\Documents\Claude\Projects\Plan de negocios Softwaves\"/>
    </mc:Choice>
  </mc:AlternateContent>
  <xr:revisionPtr revIDLastSave="0" documentId="13_ncr:1_{2E87AEE0-53EA-4AC1-9747-665931CC023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Supuestos" sheetId="2" r:id="rId2"/>
    <sheet name="Proyección Año 1" sheetId="3" r:id="rId3"/>
    <sheet name="Proyección 3 Años" sheetId="4" r:id="rId4"/>
    <sheet name="Punto de Equilibrio" sheetId="5" r:id="rId5"/>
    <sheet name="Indicadores Financiero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1" l="1"/>
  <c r="C5" i="1"/>
  <c r="B20" i="6"/>
  <c r="B19" i="6"/>
  <c r="B17" i="6"/>
  <c r="B16" i="6"/>
  <c r="B15" i="6"/>
  <c r="C8" i="1" s="1"/>
  <c r="B14" i="6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B6" i="5"/>
  <c r="B16" i="4"/>
  <c r="B17" i="4" s="1"/>
  <c r="D14" i="4"/>
  <c r="D8" i="1" s="1"/>
  <c r="C14" i="4"/>
  <c r="E14" i="4" s="1"/>
  <c r="B14" i="4"/>
  <c r="E13" i="4"/>
  <c r="E12" i="4"/>
  <c r="E11" i="4"/>
  <c r="D8" i="4"/>
  <c r="D16" i="4" s="1"/>
  <c r="D17" i="4" s="1"/>
  <c r="C8" i="4"/>
  <c r="C16" i="4" s="1"/>
  <c r="B8" i="4"/>
  <c r="E7" i="4"/>
  <c r="E6" i="4"/>
  <c r="E5" i="4"/>
  <c r="E4" i="4"/>
  <c r="L16" i="3"/>
  <c r="K16" i="3"/>
  <c r="J16" i="3"/>
  <c r="I16" i="3"/>
  <c r="H16" i="3"/>
  <c r="G16" i="3"/>
  <c r="M14" i="3"/>
  <c r="L14" i="3"/>
  <c r="K14" i="3"/>
  <c r="J14" i="3"/>
  <c r="I14" i="3"/>
  <c r="H14" i="3"/>
  <c r="G14" i="3"/>
  <c r="F14" i="3"/>
  <c r="E14" i="3"/>
  <c r="D14" i="3"/>
  <c r="C14" i="3"/>
  <c r="B14" i="3"/>
  <c r="N13" i="3"/>
  <c r="N14" i="3" s="1"/>
  <c r="N12" i="3"/>
  <c r="N11" i="3"/>
  <c r="M8" i="3"/>
  <c r="M16" i="3" s="1"/>
  <c r="L8" i="3"/>
  <c r="K8" i="3"/>
  <c r="J8" i="3"/>
  <c r="I8" i="3"/>
  <c r="H8" i="3"/>
  <c r="G8" i="3"/>
  <c r="F8" i="3"/>
  <c r="F16" i="3" s="1"/>
  <c r="E8" i="3"/>
  <c r="E16" i="3" s="1"/>
  <c r="D8" i="3"/>
  <c r="D16" i="3" s="1"/>
  <c r="C8" i="3"/>
  <c r="C16" i="3" s="1"/>
  <c r="B8" i="3"/>
  <c r="B16" i="3" s="1"/>
  <c r="B17" i="3" s="1"/>
  <c r="C17" i="3" s="1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7" i="3"/>
  <c r="N6" i="3"/>
  <c r="N5" i="3"/>
  <c r="N4" i="3"/>
  <c r="C41" i="2"/>
  <c r="B41" i="2"/>
  <c r="B27" i="2"/>
  <c r="A8" i="1"/>
  <c r="B5" i="1"/>
  <c r="A5" i="1"/>
  <c r="C17" i="4" l="1"/>
  <c r="E16" i="4"/>
  <c r="N8" i="3"/>
  <c r="N16" i="3" s="1"/>
  <c r="E8" i="4"/>
</calcChain>
</file>

<file path=xl/sharedStrings.xml><?xml version="1.0" encoding="utf-8"?>
<sst xmlns="http://schemas.openxmlformats.org/spreadsheetml/2006/main" count="236" uniqueCount="203">
  <si>
    <t>SOFTWAVES</t>
  </si>
  <si>
    <t>MODELO FINANCIERO 2025–2028</t>
  </si>
  <si>
    <t>Plan de Negocios — Resumen Ejecutivo Financiero</t>
  </si>
  <si>
    <t>Inversión Inicial</t>
  </si>
  <si>
    <t>Ingresos Año 1 (est.)</t>
  </si>
  <si>
    <t>TIR (5 años)</t>
  </si>
  <si>
    <t>VPN (5 años, 15%)</t>
  </si>
  <si>
    <t>Utilidad Bruta Año 1</t>
  </si>
  <si>
    <t>Payback Estimado</t>
  </si>
  <si>
    <t>ROI Año 1</t>
  </si>
  <si>
    <t>Utilidad Bruta Año 3</t>
  </si>
  <si>
    <t>Mes 5–6</t>
  </si>
  <si>
    <t>► Ver hojas: Supuestos | Proyección Año 1 | Proyección 3 Años | Punto de Equilibrio | Indicadores Financieros</t>
  </si>
  <si>
    <t>SOFTWAVES — SUPUESTOS Y PARÁMETROS BASE</t>
  </si>
  <si>
    <t>Todos los montos en MXN. Celdas en azul = entradas editables.</t>
  </si>
  <si>
    <t>INVERSIÓN INICIAL</t>
  </si>
  <si>
    <t>Concepto</t>
  </si>
  <si>
    <t>Monto (MXN)</t>
  </si>
  <si>
    <t>Notas</t>
  </si>
  <si>
    <t>Constitución legal (S. de R.L. de C.V.)</t>
  </si>
  <si>
    <t>Notario público — incluyendo acta constitutiva y poderes</t>
  </si>
  <si>
    <t>Registro de marca ante IMPI</t>
  </si>
  <si>
    <t>Protección del nombre y logotipo SoftWaves</t>
  </si>
  <si>
    <t>Dominio, correos corporativos y hosting</t>
  </si>
  <si>
    <t>Infraestructura digital básica — costo anual</t>
  </si>
  <si>
    <t>Herramientas SaaS y licencias (1er año)</t>
  </si>
  <si>
    <t>GitHub, Jira, herramientas cloud de desarrollo</t>
  </si>
  <si>
    <t>PC potente 1 — Programación backend</t>
  </si>
  <si>
    <t>Ryzen 9 / i9, 32 GB RAM, RTX 3060 — escritorio</t>
  </si>
  <si>
    <t>PC potente 2 — Diseño y frontend</t>
  </si>
  <si>
    <t>Ryzen 9 / i9, 32 GB RAM, RTX 4060 + monitor profesional</t>
  </si>
  <si>
    <t>Laptop CEO (reuniones y trabajo remoto)</t>
  </si>
  <si>
    <t>Intel i7, 16 GB RAM — portátil gama media</t>
  </si>
  <si>
    <t>Laptop RRHH</t>
  </si>
  <si>
    <t>Intel i5, 8 GB RAM — portátil gama media</t>
  </si>
  <si>
    <t>Mac mini M2 Pro + monitor (desarrollo iOS)</t>
  </si>
  <si>
    <t>Entorno nativo Apple para apps iOS/macOS</t>
  </si>
  <si>
    <t>iPad Air (pruebas de apps móviles)</t>
  </si>
  <si>
    <t>Dispositivo de pruebas iOS/iPadOS</t>
  </si>
  <si>
    <t>iPhone 15 (pruebas de apps iOS)</t>
  </si>
  <si>
    <t>Dispositivo de pruebas para producción</t>
  </si>
  <si>
    <t>Mobiliario — escritorios y sillas ergonómicas</t>
  </si>
  <si>
    <t>4 estaciones de trabajo + recepción</t>
  </si>
  <si>
    <t>Mesa y sillas sala de juntas (6 lugares)</t>
  </si>
  <si>
    <t>Ambiente profesional para reuniones con clientes</t>
  </si>
  <si>
    <t>Pantalla / TV sala de juntas (55'')</t>
  </si>
  <si>
    <t>Presentaciones y videoconferencias</t>
  </si>
  <si>
    <t>Impresora multifuncional</t>
  </si>
  <si>
    <t>Impresión, escaneo y copiado</t>
  </si>
  <si>
    <t>Depósito renta de oficina (2 meses)</t>
  </si>
  <si>
    <t>Garantía de arrendamiento — $7,000 MXN/mes</t>
  </si>
  <si>
    <t>Adecuaciones menores del local</t>
  </si>
  <si>
    <t>Señalética, cableado, adaptaciones básicas</t>
  </si>
  <si>
    <t>Diseño de identidad visual y sitio web</t>
  </si>
  <si>
    <t>Branding profesional y sitio corporativo</t>
  </si>
  <si>
    <t>Campaña de marketing de lanzamiento</t>
  </si>
  <si>
    <t>Redes sociales, SEO, campaña digital de arranque</t>
  </si>
  <si>
    <t>Capital de trabajo — primeros 2 meses</t>
  </si>
  <si>
    <t>Costo mínimo operativo hasta generar ingresos</t>
  </si>
  <si>
    <t>Imprevistos (10%)</t>
  </si>
  <si>
    <t>Reserva de contingencia</t>
  </si>
  <si>
    <t>TOTAL INVERSIÓN INICIAL</t>
  </si>
  <si>
    <t>COSTOS FIJOS MENSUALES POR FASE OPERATIVA</t>
  </si>
  <si>
    <t>Concepto de Costo</t>
  </si>
  <si>
    <t>Fase 1: Meses 1–6 (MXN/mes)</t>
  </si>
  <si>
    <t>Fase 2: Mes 7–Año 2+ (MXN/mes)</t>
  </si>
  <si>
    <t>Retiros socios fundadores (4 personas)</t>
  </si>
  <si>
    <t>Recepcionista (sueldo bruto)</t>
  </si>
  <si>
    <t>Renta de oficina</t>
  </si>
  <si>
    <t>Servicios básicos (luz, agua, internet)</t>
  </si>
  <si>
    <t>Servicio de limpieza</t>
  </si>
  <si>
    <t>SaaS y herramientas digitales</t>
  </si>
  <si>
    <t>Hosting clientes (cloud/servidores)</t>
  </si>
  <si>
    <t>Publicidad y marketing digital</t>
  </si>
  <si>
    <t>Gastos legales y contables (terceros)</t>
  </si>
  <si>
    <t>Gastos varios</t>
  </si>
  <si>
    <t>TOTAL COSTOS FIJOS MENSUALES</t>
  </si>
  <si>
    <t>PRECIOS DE REFERENCIA Y MÁRGENES POR PRODUCTO</t>
  </si>
  <si>
    <t>Producto / Servicio</t>
  </si>
  <si>
    <t>Precio promedio (MXN)</t>
  </si>
  <si>
    <t>Costo variable estimado (MXN)</t>
  </si>
  <si>
    <t>Proyecto cerrado — Micro (POS, tienda)</t>
  </si>
  <si>
    <t>Proyecto cerrado — Mediano (PyME)</t>
  </si>
  <si>
    <t>Proyecto cerrado — Grande (complejo)</t>
  </si>
  <si>
    <t>Renta mensual — Básica (por cliente/mes)</t>
  </si>
  <si>
    <t>Renta mensual — Avanzada (por cliente/mes)</t>
  </si>
  <si>
    <t>Consultoría tecnológica (por hora)</t>
  </si>
  <si>
    <t>IA add-on — complemento (por cliente/mes)</t>
  </si>
  <si>
    <t>IA licencia SaaS independiente (por mes)</t>
  </si>
  <si>
    <t>Margen de contribución promedio (sin freelancers)</t>
  </si>
  <si>
    <t>~75%</t>
  </si>
  <si>
    <t>Con freelancers: ~50%</t>
  </si>
  <si>
    <t>TASA DE DESCUENTO (WACC referencial)</t>
  </si>
  <si>
    <t>Tasa de descuento anual (para VPN):</t>
  </si>
  <si>
    <t>Editable — tasa del 15% recomendada para startups MX</t>
  </si>
  <si>
    <t>SOFTWAVES — PROYECCIÓN DE INGRESOS Y COSTOS AÑO 1 (MXN)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</si>
  <si>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</si>
  <si>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</si>
  <si>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</si>
  <si>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</si>
  <si>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</si>
  <si>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</si>
  <si>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</si>
  <si>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</si>
  <si>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</si>
  <si>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</si>
  <si>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</si>
  <si>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</si>
  <si>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 AÑO 1</t>
  </si>
  <si>
    <t>INGRESOS</t>
  </si>
  <si>
    <t>Proyectos cerrados</t>
  </si>
  <si>
    <t>Renta mensual (acumulado de clientes)</t>
  </si>
  <si>
    <t>Consultoría por hora</t>
  </si>
  <si>
    <t>IA (add-on y licencias)</t>
  </si>
  <si>
    <t>TOTAL INGRESOS</t>
  </si>
  <si>
    <t>COSTOS</t>
  </si>
  <si>
    <t>Costos fijos operativos</t>
  </si>
  <si>
    <t>Costos variables (hosting clientes, APIs)</t>
  </si>
  <si>
    <t>Pagos a freelancers (variable según proyecto)</t>
  </si>
  <si>
    <t>TOTAL COSTOS</t>
  </si>
  <si>
    <t>UTILIDAD BRUTA DEL MES</t>
  </si>
  <si>
    <t>FLUJO ACUMULADO (desde inversión inicial)</t>
  </si>
  <si>
    <t>SOFTWAVES — PROYECCIÓN FINANCIERA A 3 AÑOS (MXN)</t>
  </si>
  <si>
    <t>Año 1</t>
  </si>
  <si>
    <t>Año 2</t>
  </si>
  <si>
    <t>Año 3</t>
  </si>
  <si>
    <t>Var. Año 2 vs 1</t>
  </si>
  <si>
    <t>Renta mensual (MRR)</t>
  </si>
  <si>
    <t>Consultoría</t>
  </si>
  <si>
    <t>IA (add-ons + licencias)</t>
  </si>
  <si>
    <t>Costos variables</t>
  </si>
  <si>
    <t>Pagos a freelancers</t>
  </si>
  <si>
    <t>UTILIDAD BRUTA</t>
  </si>
  <si>
    <t>Margen bruto (%)</t>
  </si>
  <si>
    <t>OTROS INDICADORES</t>
  </si>
  <si>
    <t>Clientes activos (fin de año)</t>
  </si>
  <si>
    <t>8–12</t>
  </si>
  <si>
    <t>18–26</t>
  </si>
  <si>
    <t>30–42</t>
  </si>
  <si>
    <t>Contratos de mantenimiento activos</t>
  </si>
  <si>
    <t>6–8</t>
  </si>
  <si>
    <t>14–20</t>
  </si>
  <si>
    <t>25–35</t>
  </si>
  <si>
    <t>Colaboradores externos promedio/mes</t>
  </si>
  <si>
    <t>2–3</t>
  </si>
  <si>
    <t>4–6</t>
  </si>
  <si>
    <t>7–10</t>
  </si>
  <si>
    <t>SOFTWAVES — ANÁLISIS DE PUNTO DE EQUILIBRIO</t>
  </si>
  <si>
    <t>Parámetros del Análisis</t>
  </si>
  <si>
    <t>Costos fijos mensuales (Fase 1):</t>
  </si>
  <si>
    <t>Margen de contribución promedio:</t>
  </si>
  <si>
    <t>Ingreso mínimo para equilibrio:</t>
  </si>
  <si>
    <t>Análisis Mensual — Año 1</t>
  </si>
  <si>
    <t>Mes</t>
  </si>
  <si>
    <t>Costos Fijos</t>
  </si>
  <si>
    <t>Ingresos Reales</t>
  </si>
  <si>
    <t>Margen Contrib.</t>
  </si>
  <si>
    <t>¿Equilibrio?</t>
  </si>
  <si>
    <t>Ingreso Req.</t>
  </si>
  <si>
    <t>NO</t>
  </si>
  <si>
    <t>SI ✓</t>
  </si>
  <si>
    <t>SOFTWAVES — INDICADORES DE RENTABILIDAD E INVERSIÓN</t>
  </si>
  <si>
    <t>FLUJOS NETOS DE EFECTIVO (BASE DE CÁLCULO)</t>
  </si>
  <si>
    <t>Período</t>
  </si>
  <si>
    <t>Flujo Neto (MXN)</t>
  </si>
  <si>
    <t>Descripción</t>
  </si>
  <si>
    <t>Año 0 (inversión)</t>
  </si>
  <si>
    <t>Inversión inicial de los socios fundadores (equipos + oficina + capital)</t>
  </si>
  <si>
    <t>Año de arranque: ingresos ~$733k vs costos ~$758k (año de posicionamiento)</t>
  </si>
  <si>
    <t>Utilidad neta estimada Año 2 (base de clientes consolidada)</t>
  </si>
  <si>
    <t>Utilidad neta estimada Año 3 (crecimiento + ingresos recurrentes)</t>
  </si>
  <si>
    <t>Año 4 (proyectado)</t>
  </si>
  <si>
    <t>Proyección conservadora con cartera establecida</t>
  </si>
  <si>
    <t>Año 5 (proyectado)</t>
  </si>
  <si>
    <t>Proyección con producto SaaS IA en operación</t>
  </si>
  <si>
    <t>INDICADORES DE RENTABILIDAD (CALCULADOS AUTOMÁTICAMENTE)</t>
  </si>
  <si>
    <t>Indicador</t>
  </si>
  <si>
    <t>Resultado</t>
  </si>
  <si>
    <t>Interpretación</t>
  </si>
  <si>
    <t>TIR — Tasa Interna de Retorno (5 años)</t>
  </si>
  <si>
    <t>Rendimiento anual de la inversión. Por encima del 30% es excelente para una startup.</t>
  </si>
  <si>
    <t>TIR (3 años)</t>
  </si>
  <si>
    <t>TIR considerando solo los primeros 3 años de operación.</t>
  </si>
  <si>
    <t>VPN — Valor Presente Neto (5 años, tasa 15%)</t>
  </si>
  <si>
    <t>Valor actual de las ganancias futuras descontadas. Positivo = proyecto viable.</t>
  </si>
  <si>
    <t>VPN (3 años)</t>
  </si>
  <si>
    <t>VPN solo con los 3 primeros años. Positivo confirma rentabilidad a corto plazo.</t>
  </si>
  <si>
    <t>Período de Recuperación (Payback)</t>
  </si>
  <si>
    <t>~18 meses (ver hoja Punto de Equilibrio)</t>
  </si>
  <si>
    <t>La inversión se recupera aproximadamente a mitad del Año 2, cuando el flujo acumulado vuelve a positivo.</t>
  </si>
  <si>
    <t>ROI — Retorno sobre la Inversión (Año 2)</t>
  </si>
  <si>
    <t>Cuántas veces se recupera la inversión en el Año 2 (Año 1 es de posicionamiento con utilidad casi neutra).</t>
  </si>
  <si>
    <t>Relación Beneficio / Costo (3 años)</t>
  </si>
  <si>
    <t>Por cada peso invertido, cuántos pesos de beneficio se obtienen en 3 años.</t>
  </si>
  <si>
    <t>Margen neto promedio (Año 1)</t>
  </si>
  <si>
    <t>40.0%</t>
  </si>
  <si>
    <t>Porcentaje de cada peso de ingreso que se convierte en utilidad (estimado Año 1).</t>
  </si>
  <si>
    <t>NOTAS Y SUPUESTOS CLAVE</t>
  </si>
  <si>
    <t>• Los flujos de caja son estimaciones conservadoras basadas en los supuestos de la hoja 'Supuestos'.</t>
  </si>
  <si>
    <t>• La TIR es alta porque el software tiene márgenes elevados. Con inversión ~$281k, la TIR baja a rango justificable (~60–90%) vs. la TIR irreal de un escenario sin oficina.</t>
  </si>
  <si>
    <t>• El VPN puede ajustarse cambiando la tasa de descuento en la celda amarilla de la hoja 'Supuestos'.</t>
  </si>
  <si>
    <t>• Los flujos Años 4-5 son proyecciones indicativas; actualizar conforme avance la operación real.</t>
  </si>
  <si>
    <t>• Los pagos a freelancers son costos variables que solo se activan cuando hay proyectos activos.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</si>
</sst>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;\(0.0%\);\-"/>
    <numFmt numFmtId="166" formatCode="0.0\x"/>
  </numFmts>
  <fonts count="26" x14ac:knownFonts="1">
    <font>
      <sz val="11"/>
      <color theme="1"/>
      <name val="Calibri"/>
      <family val="2"/>
      <charset val="1"/>
    </font>
    <font>
      <b/>
      <sz val="22"/>
      <color rgb="FFC9A227"/>
      <name val="Arial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9"/>
      <color rgb="FFFFFFFF"/>
      <name val="Arial"/>
      <charset val="1"/>
    </font>
    <font>
      <b/>
      <sz val="14"/>
      <color rgb="FF6B21A8"/>
      <name val="Arial"/>
      <charset val="1"/>
    </font>
    <font>
      <b/>
      <sz val="14"/>
      <color rgb="FF0F766E"/>
      <name val="Arial"/>
      <charset val="1"/>
    </font>
    <font>
      <b/>
      <sz val="14"/>
      <color rgb="FF166534"/>
      <name val="Arial"/>
      <charset val="1"/>
    </font>
    <font>
      <b/>
      <sz val="14"/>
      <color rgb="FF9333EA"/>
      <name val="Arial"/>
      <charset val="1"/>
    </font>
    <font>
      <b/>
      <sz val="14"/>
      <color rgb="FFC9A227"/>
      <name val="Arial"/>
      <charset val="1"/>
    </font>
    <font>
      <b/>
      <sz val="14"/>
      <color rgb="FF1A1A2E"/>
      <name val="Arial"/>
      <charset val="1"/>
    </font>
    <font>
      <i/>
      <sz val="10"/>
      <color rgb="FF6B21A8"/>
      <name val="Arial"/>
      <charset val="1"/>
    </font>
    <font>
      <b/>
      <sz val="13"/>
      <color rgb="FFFFFFFF"/>
      <name val="Arial"/>
      <charset val="1"/>
    </font>
    <font>
      <i/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sz val="10"/>
      <color rgb="FF0000FF"/>
      <name val="Arial"/>
      <charset val="1"/>
    </font>
    <font>
      <b/>
      <sz val="10"/>
      <color rgb="FF1A1A2E"/>
      <name val="Arial"/>
      <charset val="1"/>
    </font>
    <font>
      <b/>
      <sz val="10"/>
      <color rgb="FF0000FF"/>
      <name val="Arial"/>
      <charset val="1"/>
    </font>
    <font>
      <b/>
      <sz val="12"/>
      <color rgb="FFFFFFFF"/>
      <name val="Arial"/>
      <charset val="1"/>
    </font>
    <font>
      <b/>
      <sz val="10"/>
      <color rgb="FF166534"/>
      <name val="Arial"/>
      <charset val="1"/>
    </font>
    <font>
      <b/>
      <sz val="11"/>
      <color rgb="FFFFFFFF"/>
      <name val="Arial"/>
      <charset val="1"/>
    </font>
    <font>
      <b/>
      <sz val="10"/>
      <color rgb="FF991B1B"/>
      <name val="Arial"/>
      <charset val="1"/>
    </font>
    <font>
      <b/>
      <sz val="11"/>
      <color rgb="FF166534"/>
      <name val="Arial"/>
      <charset val="1"/>
    </font>
    <font>
      <i/>
      <sz val="10"/>
      <color rgb="FF333333"/>
      <name val="Arial"/>
      <charset val="1"/>
    </font>
    <font>
      <i/>
      <sz val="9"/>
      <color rgb="FF555555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6B21A8"/>
        <bgColor rgb="FF9333EA"/>
      </patternFill>
    </fill>
    <fill>
      <patternFill patternType="solid">
        <fgColor rgb="FF0F766E"/>
        <bgColor rgb="FF166534"/>
      </patternFill>
    </fill>
    <fill>
      <patternFill patternType="solid">
        <fgColor rgb="FF166534"/>
        <bgColor rgb="FF0F766E"/>
      </patternFill>
    </fill>
    <fill>
      <patternFill patternType="solid">
        <fgColor rgb="FF9333EA"/>
        <bgColor rgb="FF6B21A8"/>
      </patternFill>
    </fill>
    <fill>
      <patternFill patternType="solid">
        <fgColor rgb="FFF3E8FF"/>
        <bgColor rgb="FFF5F5F5"/>
      </patternFill>
    </fill>
    <fill>
      <patternFill patternType="solid">
        <fgColor rgb="FFCCFBF1"/>
        <bgColor rgb="FFDCFCE7"/>
      </patternFill>
    </fill>
    <fill>
      <patternFill patternType="solid">
        <fgColor rgb="FFDCFCE7"/>
        <bgColor rgb="FFCCFBF1"/>
      </patternFill>
    </fill>
    <fill>
      <patternFill patternType="solid">
        <fgColor rgb="FFE9D5FF"/>
        <bgColor rgb="FFF3E8FF"/>
      </patternFill>
    </fill>
    <fill>
      <patternFill patternType="solid">
        <fgColor rgb="FFC9A227"/>
        <bgColor rgb="FFE78C41"/>
      </patternFill>
    </fill>
    <fill>
      <patternFill patternType="solid">
        <fgColor rgb="FF1A1A2E"/>
        <bgColor rgb="FF333333"/>
      </patternFill>
    </fill>
    <fill>
      <patternFill patternType="solid">
        <fgColor rgb="FFFEF9C3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F00"/>
        <bgColor rgb="FFFEF9C3"/>
      </patternFill>
    </fill>
    <fill>
      <patternFill patternType="solid">
        <fgColor rgb="FFFEE2E2"/>
        <bgColor rgb="FFF3E8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5" fillId="0" borderId="0" xfId="0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1" fillId="11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4" fontId="9" fillId="12" borderId="1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64" fontId="1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164" fontId="17" fillId="12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left" vertical="center"/>
    </xf>
    <xf numFmtId="164" fontId="16" fillId="14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/>
    </xf>
    <xf numFmtId="164" fontId="16" fillId="1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165" fontId="18" fillId="15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64" fontId="17" fillId="9" borderId="1" xfId="0" applyNumberFormat="1" applyFont="1" applyFill="1" applyBorder="1" applyAlignment="1">
      <alignment horizontal="center" vertical="center"/>
    </xf>
    <xf numFmtId="164" fontId="17" fillId="7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164" fontId="20" fillId="8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65" fontId="15" fillId="13" borderId="1" xfId="0" applyNumberFormat="1" applyFont="1" applyFill="1" applyBorder="1" applyAlignment="1">
      <alignment horizontal="center" vertical="center"/>
    </xf>
    <xf numFmtId="165" fontId="15" fillId="14" borderId="1" xfId="0" applyNumberFormat="1" applyFont="1" applyFill="1" applyBorder="1" applyAlignment="1">
      <alignment horizontal="center" vertical="center"/>
    </xf>
    <xf numFmtId="165" fontId="17" fillId="9" borderId="1" xfId="0" applyNumberFormat="1" applyFont="1" applyFill="1" applyBorder="1" applyAlignment="1">
      <alignment horizontal="center" vertical="center"/>
    </xf>
    <xf numFmtId="165" fontId="17" fillId="7" borderId="1" xfId="0" applyNumberFormat="1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center" vertical="center"/>
    </xf>
    <xf numFmtId="165" fontId="17" fillId="8" borderId="1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8" fillId="15" borderId="0" xfId="0" applyNumberFormat="1" applyFont="1" applyFill="1" applyAlignment="1">
      <alignment horizontal="center" vertical="center"/>
    </xf>
    <xf numFmtId="165" fontId="18" fillId="15" borderId="0" xfId="0" applyNumberFormat="1" applyFont="1" applyFill="1" applyAlignment="1">
      <alignment horizontal="center" vertical="center"/>
    </xf>
    <xf numFmtId="164" fontId="18" fillId="12" borderId="0" xfId="0" applyNumberFormat="1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/>
    </xf>
    <xf numFmtId="164" fontId="15" fillId="16" borderId="1" xfId="0" applyNumberFormat="1" applyFont="1" applyFill="1" applyBorder="1" applyAlignment="1">
      <alignment horizontal="center" vertical="center"/>
    </xf>
    <xf numFmtId="164" fontId="16" fillId="16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164" fontId="16" fillId="8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left" vertical="center"/>
    </xf>
    <xf numFmtId="164" fontId="22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/>
    </xf>
    <xf numFmtId="165" fontId="23" fillId="8" borderId="1" xfId="0" applyNumberFormat="1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left" vertical="center"/>
    </xf>
    <xf numFmtId="0" fontId="24" fillId="14" borderId="1" xfId="0" applyFont="1" applyFill="1" applyBorder="1" applyAlignment="1">
      <alignment horizontal="left" vertical="center" wrapText="1"/>
    </xf>
    <xf numFmtId="164" fontId="23" fillId="8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166" fontId="23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27637"/>
      <rgbColor rgb="FFB3C992"/>
      <rgbColor rgb="FF0000FF"/>
      <rgbColor rgb="FFFFFF00"/>
      <rgbColor rgb="FFCA7E7D"/>
      <rgbColor rgb="FFB5C3DB"/>
      <rgbColor rgb="FFF8AA7A"/>
      <rgbColor rgb="FF166534"/>
      <rgbColor rgb="FFFEE2E2"/>
      <rgbColor rgb="FF7A9346"/>
      <rgbColor rgb="FF6B21A8"/>
      <rgbColor rgb="FF0F766E"/>
      <rgbColor rgb="FFC2BACF"/>
      <rgbColor rgb="FF878787"/>
      <rgbColor rgb="FF91A8CD"/>
      <rgbColor rgb="FFB04844"/>
      <rgbColor rgb="FFFEF9C3"/>
      <rgbColor rgb="FFCCFBF1"/>
      <rgbColor rgb="FFD09493"/>
      <rgbColor rgb="FFE78C41"/>
      <rgbColor rgb="FF7E9BC7"/>
      <rgbColor rgb="FFCCCCCC"/>
      <rgbColor rgb="FFF3E8FF"/>
      <rgbColor rgb="FFCC8F8E"/>
      <rgbColor rgb="FFCCDAB7"/>
      <rgbColor rgb="FFADC683"/>
      <rgbColor rgb="FF9333EA"/>
      <rgbColor rgb="FFD9D9D9"/>
      <rgbColor rgb="FF4098B0"/>
      <rgbColor rgb="FFE9D5FF"/>
      <rgbColor rgb="FF81BCD1"/>
      <rgbColor rgb="FFDCFCE7"/>
      <rgbColor rgb="FFF5F5F5"/>
      <rgbColor rgb="FFF9F9F9"/>
      <rgbColor rgb="FFB5D4E0"/>
      <rgbColor rgb="FFF5B089"/>
      <rgbColor rgb="FFDDB5B5"/>
      <rgbColor rgb="FFFACAB4"/>
      <rgbColor rgb="FF4978B1"/>
      <rgbColor rgb="FF46A1B9"/>
      <rgbColor rgb="FF8EAB50"/>
      <rgbColor rgb="FFC9A227"/>
      <rgbColor rgb="FFDC853E"/>
      <rgbColor rgb="FFDB8238"/>
      <rgbColor rgb="FF775D97"/>
      <rgbColor rgb="FF9E8DB4"/>
      <rgbColor rgb="FF555555"/>
      <rgbColor rgb="FF3B879C"/>
      <rgbColor rgb="FFB8CD97"/>
      <rgbColor rgb="FF1A1A2E"/>
      <rgbColor rgb="FF991B1B"/>
      <rgbColor rgb="FF71588F"/>
      <rgbColor rgb="FF654E7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MX" sz="1800" b="1" u="none" strike="noStrike">
                <a:solidFill>
                  <a:srgbClr val="000000"/>
                </a:solidFill>
                <a:uFillTx/>
                <a:latin typeface="Calibri"/>
              </a:rPr>
              <a:t>Ingresos vs Costos — Año 1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333E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1'!$B$8</c:f>
              <c:numCache>
                <c:formatCode>\$#,##0;"($"#,##0\);\-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D-4ED6-88BC-6EE9D26A0C55}"/>
            </c:ext>
          </c:extLst>
        </c:ser>
        <c:ser>
          <c:idx val="1"/>
          <c:order val="1"/>
          <c:spPr>
            <a:solidFill>
              <a:srgbClr val="C9A22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1'!$C$8</c:f>
              <c:numCache>
                <c:formatCode>\$#,##0;"($"#,##0\);\-</c:formatCode>
                <c:ptCount val="1"/>
                <c:pt idx="0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D-4ED6-88BC-6EE9D26A0C55}"/>
            </c:ext>
          </c:extLst>
        </c:ser>
        <c:ser>
          <c:idx val="2"/>
          <c:order val="2"/>
          <c:spPr>
            <a:solidFill>
              <a:srgbClr val="7A934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1'!$D$8</c:f>
              <c:numCache>
                <c:formatCode>\$#,##0;"($"#,##0\);\-</c:formatCode>
                <c:ptCount val="1"/>
                <c:pt idx="0">
                  <c:v>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ED-4ED6-88BC-6EE9D26A0C55}"/>
            </c:ext>
          </c:extLst>
        </c:ser>
        <c:ser>
          <c:idx val="3"/>
          <c:order val="3"/>
          <c:spPr>
            <a:solidFill>
              <a:srgbClr val="654E7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1'!$E$8</c:f>
              <c:numCache>
                <c:formatCode>\$#,##0;"($"#,##0\);\-</c:formatCode>
                <c:ptCount val="1"/>
                <c:pt idx="0">
                  <c:v>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ED-4ED6-88BC-6EE9D26A0C55}"/>
            </c:ext>
          </c:extLst>
        </c:ser>
        <c:ser>
          <c:idx val="4"/>
          <c:order val="4"/>
          <c:spPr>
            <a:solidFill>
              <a:srgbClr val="3B879C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1'!$F$8</c:f>
              <c:numCache>
                <c:formatCode>\$#,##0;"($"#,##0\);\-</c:formatCode>
                <c:ptCount val="1"/>
                <c:pt idx="0">
                  <c:v>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ED-4ED6-88BC-6EE9D26A0C55}"/>
            </c:ext>
          </c:extLst>
        </c:ser>
        <c:ser>
          <c:idx val="5"/>
          <c:order val="5"/>
          <c:spPr>
            <a:solidFill>
              <a:srgbClr val="C2763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1'!$G$8</c:f>
              <c:numCache>
                <c:formatCode>\$#,##0;"($"#,##0\);\-</c:formatCode>
                <c:ptCount val="1"/>
                <c:pt idx="0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ED-4ED6-88BC-6EE9D26A0C55}"/>
            </c:ext>
          </c:extLst>
        </c:ser>
        <c:ser>
          <c:idx val="6"/>
          <c:order val="6"/>
          <c:spPr>
            <a:solidFill>
              <a:srgbClr val="4978B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1'!$H$8</c:f>
              <c:numCache>
                <c:formatCode>\$#,##0;"($"#,##0\);\-</c:formatCode>
                <c:ptCount val="1"/>
                <c:pt idx="0">
                  <c:v>70500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ED-4ED6-88BC-6EE9D26A0C55}"/>
            </c:ext>
          </c:extLst>
        </c:ser>
        <c:ser>
          <c:idx val="7"/>
          <c:order val="7"/>
          <c:spPr>
            <a:solidFill>
              <a:srgbClr val="B34A4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1'!$I$8</c:f>
              <c:numCache>
                <c:formatCode>\$#,##0;"($"#,##0\);\-</c:formatCode>
                <c:ptCount val="1"/>
                <c:pt idx="0">
                  <c:v>73500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ED-4ED6-88BC-6EE9D26A0C55}"/>
            </c:ext>
          </c:extLst>
        </c:ser>
        <c:ser>
          <c:idx val="8"/>
          <c:order val="8"/>
          <c:spPr>
            <a:solidFill>
              <a:srgbClr val="91AF5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1'!$J$8</c:f>
              <c:numCache>
                <c:formatCode>\$#,##0;"($"#,##0\);\-</c:formatCode>
                <c:ptCount val="1"/>
                <c:pt idx="0">
                  <c:v>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ED-4ED6-88BC-6EE9D26A0C55}"/>
            </c:ext>
          </c:extLst>
        </c:ser>
        <c:ser>
          <c:idx val="9"/>
          <c:order val="9"/>
          <c:spPr>
            <a:solidFill>
              <a:srgbClr val="775D9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1'!$K$8</c:f>
              <c:numCache>
                <c:formatCode>\$#,##0;"($"#,##0\);\-</c:formatCode>
                <c:ptCount val="1"/>
                <c:pt idx="0">
                  <c:v>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ED-4ED6-88BC-6EE9D26A0C55}"/>
            </c:ext>
          </c:extLst>
        </c:ser>
        <c:ser>
          <c:idx val="10"/>
          <c:order val="10"/>
          <c:spPr>
            <a:solidFill>
              <a:srgbClr val="46A1B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1'!$L$8</c:f>
              <c:numCache>
                <c:formatCode>\$#,##0;"($"#,##0\);\-</c:formatCode>
                <c:ptCount val="1"/>
                <c:pt idx="0">
                  <c:v>96500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ED-4ED6-88BC-6EE9D26A0C55}"/>
            </c:ext>
          </c:extLst>
        </c:ser>
        <c:ser>
          <c:idx val="11"/>
          <c:order val="11"/>
          <c:spPr>
            <a:solidFill>
              <a:srgbClr val="E78C4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1'!$M$8</c:f>
              <c:numCache>
                <c:formatCode>\$#,##0;"($"#,##0\);\-</c:formatCode>
                <c:ptCount val="1"/>
                <c:pt idx="0">
                  <c:v>106500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8ED-4ED6-88BC-6EE9D26A0C55}"/>
            </c:ext>
          </c:extLst>
        </c:ser>
        <c:ser>
          <c:idx val="12"/>
          <c:order val="12"/>
          <c:spPr>
            <a:solidFill>
              <a:srgbClr val="7E9BC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1'!$B$14</c:f>
              <c:numCache>
                <c:formatCode>\$#,##0;"($"#,##0\);\-</c:formatCode>
                <c:ptCount val="1"/>
                <c:pt idx="0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8ED-4ED6-88BC-6EE9D26A0C55}"/>
            </c:ext>
          </c:extLst>
        </c:ser>
        <c:ser>
          <c:idx val="13"/>
          <c:order val="13"/>
          <c:spPr>
            <a:solidFill>
              <a:srgbClr val="CA7E7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1'!$C$14</c:f>
              <c:numCache>
                <c:formatCode>\$#,##0;"($"#,##0\);\-</c:formatCode>
                <c:ptCount val="1"/>
                <c:pt idx="0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8ED-4ED6-88BC-6EE9D26A0C55}"/>
            </c:ext>
          </c:extLst>
        </c:ser>
        <c:ser>
          <c:idx val="14"/>
          <c:order val="14"/>
          <c:spPr>
            <a:solidFill>
              <a:srgbClr val="ADC68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1'!$D$14</c:f>
              <c:numCache>
                <c:formatCode>\$#,##0;"($"#,##0\);\-</c:formatCode>
                <c:ptCount val="1"/>
                <c:pt idx="0">
                  <c:v>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8ED-4ED6-88BC-6EE9D26A0C55}"/>
            </c:ext>
          </c:extLst>
        </c:ser>
        <c:ser>
          <c:idx val="15"/>
          <c:order val="15"/>
          <c:spPr>
            <a:solidFill>
              <a:srgbClr val="9A89B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1'!$E$14</c:f>
              <c:numCache>
                <c:formatCode>\$#,##0;"($"#,##0\);\-</c:formatCode>
                <c:ptCount val="1"/>
                <c:pt idx="0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8ED-4ED6-88BC-6EE9D26A0C55}"/>
            </c:ext>
          </c:extLst>
        </c:ser>
        <c:ser>
          <c:idx val="16"/>
          <c:order val="16"/>
          <c:spPr>
            <a:solidFill>
              <a:srgbClr val="7CBAC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1'!$F$14</c:f>
              <c:numCache>
                <c:formatCode>\$#,##0;"($"#,##0\);\-</c:formatCode>
                <c:ptCount val="1"/>
                <c:pt idx="0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ED-4ED6-88BC-6EE9D26A0C55}"/>
            </c:ext>
          </c:extLst>
        </c:ser>
        <c:ser>
          <c:idx val="17"/>
          <c:order val="17"/>
          <c:spPr>
            <a:solidFill>
              <a:srgbClr val="F8AA7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1'!$G$14</c:f>
              <c:numCache>
                <c:formatCode>\$#,##0;"($"#,##0\);\-</c:formatCode>
                <c:ptCount val="1"/>
                <c:pt idx="0">
                  <c:v>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8ED-4ED6-88BC-6EE9D26A0C55}"/>
            </c:ext>
          </c:extLst>
        </c:ser>
        <c:ser>
          <c:idx val="18"/>
          <c:order val="18"/>
          <c:spPr>
            <a:solidFill>
              <a:srgbClr val="B5C3DB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1'!$H$14</c:f>
              <c:numCache>
                <c:formatCode>\$#,##0;"($"#,##0\);\-</c:formatCode>
                <c:ptCount val="1"/>
                <c:pt idx="0">
                  <c:v>70500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8ED-4ED6-88BC-6EE9D26A0C55}"/>
            </c:ext>
          </c:extLst>
        </c:ser>
        <c:ser>
          <c:idx val="19"/>
          <c:order val="19"/>
          <c:spPr>
            <a:solidFill>
              <a:srgbClr val="DDB5B5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1'!$I$14</c:f>
              <c:numCache>
                <c:formatCode>\$#,##0;"($"#,##0\);\-</c:formatCode>
                <c:ptCount val="1"/>
                <c:pt idx="0">
                  <c:v>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8ED-4ED6-88BC-6EE9D26A0C55}"/>
            </c:ext>
          </c:extLst>
        </c:ser>
        <c:ser>
          <c:idx val="20"/>
          <c:order val="20"/>
          <c:spPr>
            <a:solidFill>
              <a:srgbClr val="CCDAB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1'!$J$14</c:f>
              <c:numCache>
                <c:formatCode>\$#,##0;"($"#,##0\);\-</c:formatCode>
                <c:ptCount val="1"/>
                <c:pt idx="0">
                  <c:v>73500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8ED-4ED6-88BC-6EE9D26A0C55}"/>
            </c:ext>
          </c:extLst>
        </c:ser>
        <c:ser>
          <c:idx val="21"/>
          <c:order val="21"/>
          <c:spPr>
            <a:solidFill>
              <a:srgbClr val="C2BAC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1'!$K$14</c:f>
              <c:numCache>
                <c:formatCode>\$#,##0;"($"#,##0\);\-</c:formatCode>
                <c:ptCount val="1"/>
                <c:pt idx="0">
                  <c:v>74500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8ED-4ED6-88BC-6EE9D26A0C55}"/>
            </c:ext>
          </c:extLst>
        </c:ser>
        <c:ser>
          <c:idx val="22"/>
          <c:order val="22"/>
          <c:spPr>
            <a:solidFill>
              <a:srgbClr val="B5D4E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1'!$L$14</c:f>
              <c:numCache>
                <c:formatCode>\$#,##0;"($"#,##0\);\-</c:formatCode>
                <c:ptCount val="1"/>
                <c:pt idx="0">
                  <c:v>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8ED-4ED6-88BC-6EE9D26A0C55}"/>
            </c:ext>
          </c:extLst>
        </c:ser>
        <c:ser>
          <c:idx val="23"/>
          <c:order val="23"/>
          <c:spPr>
            <a:solidFill>
              <a:srgbClr val="FACAB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1'!$M$14</c:f>
              <c:numCache>
                <c:formatCode>\$#,##0;"($"#,##0\);\-</c:formatCode>
                <c:ptCount val="1"/>
                <c:pt idx="0">
                  <c:v>78500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8ED-4ED6-88BC-6EE9D26A0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013163"/>
        <c:axId val="54613700"/>
      </c:barChart>
      <c:catAx>
        <c:axId val="310131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MX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MX"/>
          </a:p>
        </c:txPr>
        <c:crossAx val="54613700"/>
        <c:crosses val="autoZero"/>
        <c:auto val="1"/>
        <c:lblAlgn val="ctr"/>
        <c:lblOffset val="100"/>
        <c:noMultiLvlLbl val="0"/>
      </c:catAx>
      <c:valAx>
        <c:axId val="54613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MX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MXN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MX"/>
          </a:p>
        </c:txPr>
        <c:crossAx val="310131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MX" sz="1800" b="1" u="none" strike="noStrike">
                <a:solidFill>
                  <a:srgbClr val="000000"/>
                </a:solidFill>
                <a:uFillTx/>
                <a:latin typeface="Calibri"/>
              </a:rPr>
              <a:t>Flujo de Caja Acumulado — Punto de Equilibrio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4840">
              <a:solidFill>
                <a:srgbClr val="6B21A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1'!$B$17</c:f>
              <c:numCache>
                <c:formatCode>\$#,##0;"($"#,##0\);\-</c:formatCode>
                <c:ptCount val="1"/>
                <c:pt idx="0">
                  <c:v>-323500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65-48D0-8746-F61B93F5B365}"/>
            </c:ext>
          </c:extLst>
        </c:ser>
        <c:ser>
          <c:idx val="1"/>
          <c:order val="1"/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1'!$C$17</c:f>
              <c:numCache>
                <c:formatCode>\$#,##0;"($"#,##0\);\-</c:formatCode>
                <c:ptCount val="1"/>
                <c:pt idx="0">
                  <c:v>-350000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565-48D0-8746-F61B93F5B365}"/>
            </c:ext>
          </c:extLst>
        </c:ser>
        <c:ser>
          <c:idx val="2"/>
          <c:order val="2"/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1'!$D$17</c:f>
              <c:numCache>
                <c:formatCode>\$#,##0;"($"#,##0\);\-</c:formatCode>
                <c:ptCount val="1"/>
                <c:pt idx="0">
                  <c:v>-365000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565-48D0-8746-F61B93F5B365}"/>
            </c:ext>
          </c:extLst>
        </c:ser>
        <c:ser>
          <c:idx val="3"/>
          <c:order val="3"/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1'!$E$17</c:f>
              <c:numCache>
                <c:formatCode>\$#,##0;"($"#,##0\);\-</c:formatCode>
                <c:ptCount val="1"/>
                <c:pt idx="0">
                  <c:v>-375500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565-48D0-8746-F61B93F5B365}"/>
            </c:ext>
          </c:extLst>
        </c:ser>
        <c:ser>
          <c:idx val="4"/>
          <c:order val="4"/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1'!$F$17</c:f>
              <c:numCache>
                <c:formatCode>\$#,##0;"($"#,##0\);\-</c:formatCode>
                <c:ptCount val="1"/>
                <c:pt idx="0">
                  <c:v>-382000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565-48D0-8746-F61B93F5B365}"/>
            </c:ext>
          </c:extLst>
        </c:ser>
        <c:ser>
          <c:idx val="5"/>
          <c:order val="5"/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1'!$G$17</c:f>
              <c:numCache>
                <c:formatCode>\$#,##0;"($"#,##0\);\-</c:formatCode>
                <c:ptCount val="1"/>
                <c:pt idx="0">
                  <c:v>-379000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565-48D0-8746-F61B93F5B365}"/>
            </c:ext>
          </c:extLst>
        </c:ser>
        <c:ser>
          <c:idx val="6"/>
          <c:order val="6"/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1'!$H$17</c:f>
              <c:numCache>
                <c:formatCode>\$#,##0;"($"#,##0\);\-</c:formatCode>
                <c:ptCount val="1"/>
                <c:pt idx="0">
                  <c:v>-379000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565-48D0-8746-F61B93F5B365}"/>
            </c:ext>
          </c:extLst>
        </c:ser>
        <c:ser>
          <c:idx val="7"/>
          <c:order val="7"/>
          <c:spPr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1'!$I$17</c:f>
              <c:numCache>
                <c:formatCode>\$#,##0;"($"#,##0\);\-</c:formatCode>
                <c:ptCount val="1"/>
                <c:pt idx="0">
                  <c:v>-376500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565-48D0-8746-F61B93F5B365}"/>
            </c:ext>
          </c:extLst>
        </c:ser>
        <c:ser>
          <c:idx val="8"/>
          <c:order val="8"/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1'!$J$17</c:f>
              <c:numCache>
                <c:formatCode>\$#,##0;"($"#,##0\);\-</c:formatCode>
                <c:ptCount val="1"/>
                <c:pt idx="0">
                  <c:v>-367000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565-48D0-8746-F61B93F5B365}"/>
            </c:ext>
          </c:extLst>
        </c:ser>
        <c:ser>
          <c:idx val="9"/>
          <c:order val="9"/>
          <c:spPr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1'!$K$17</c:f>
              <c:numCache>
                <c:formatCode>\$#,##0;"($"#,##0\);\-</c:formatCode>
                <c:ptCount val="1"/>
                <c:pt idx="0">
                  <c:v>-353500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565-48D0-8746-F61B93F5B365}"/>
            </c:ext>
          </c:extLst>
        </c:ser>
        <c:ser>
          <c:idx val="10"/>
          <c:order val="10"/>
          <c:spPr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1'!$L$17</c:f>
              <c:numCache>
                <c:formatCode>\$#,##0;"($"#,##0\);\-</c:formatCode>
                <c:ptCount val="1"/>
                <c:pt idx="0">
                  <c:v>-333000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565-48D0-8746-F61B93F5B365}"/>
            </c:ext>
          </c:extLst>
        </c:ser>
        <c:ser>
          <c:idx val="11"/>
          <c:order val="11"/>
          <c:spPr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'Proyección Año 1'!$B$2:$M$2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'Proyección Año 1'!$M$17</c:f>
              <c:numCache>
                <c:formatCode>\$#,##0;"($"#,##0\);\-</c:formatCode>
                <c:ptCount val="1"/>
                <c:pt idx="0">
                  <c:v>-305000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565-48D0-8746-F61B93F5B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767736"/>
        <c:axId val="79232924"/>
      </c:lineChart>
      <c:catAx>
        <c:axId val="117677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MX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MX"/>
          </a:p>
        </c:txPr>
        <c:crossAx val="79232924"/>
        <c:crosses val="autoZero"/>
        <c:auto val="1"/>
        <c:lblAlgn val="ctr"/>
        <c:lblOffset val="100"/>
        <c:noMultiLvlLbl val="0"/>
      </c:catAx>
      <c:valAx>
        <c:axId val="79232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MX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MXN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MX"/>
          </a:p>
        </c:txPr>
        <c:crossAx val="117677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MX" sz="1800" b="1" u="none" strike="noStrike">
                <a:solidFill>
                  <a:srgbClr val="000000"/>
                </a:solidFill>
                <a:uFillTx/>
                <a:latin typeface="Calibri"/>
              </a:rPr>
              <a:t>Resumen Financiero 3 Años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333E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3 Años'!$B$2:$D$2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'Proyección 3 Años'!$B$8</c:f>
              <c:numCache>
                <c:formatCode>\$#,##0;"($"#,##0\);\-</c:formatCode>
                <c:ptCount val="1"/>
                <c:pt idx="0">
                  <c:v>683000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7-4030-9D03-FD75542927F8}"/>
            </c:ext>
          </c:extLst>
        </c:ser>
        <c:ser>
          <c:idx val="1"/>
          <c:order val="1"/>
          <c:spPr>
            <a:solidFill>
              <a:srgbClr val="C9A22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3 Años'!$B$2:$D$2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'Proyección 3 Años'!$C$8</c:f>
              <c:numCache>
                <c:formatCode>\$#,##0;"($"#,##0\);\-</c:formatCode>
                <c:ptCount val="1"/>
                <c:pt idx="0">
                  <c:v>1340000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7-4030-9D03-FD75542927F8}"/>
            </c:ext>
          </c:extLst>
        </c:ser>
        <c:ser>
          <c:idx val="2"/>
          <c:order val="2"/>
          <c:spPr>
            <a:solidFill>
              <a:srgbClr val="16653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3 Años'!$B$2:$D$2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'Proyección 3 Años'!$D$8</c:f>
              <c:numCache>
                <c:formatCode>\$#,##0;"($"#,##0\);\-</c:formatCode>
                <c:ptCount val="1"/>
                <c:pt idx="0">
                  <c:v>2160000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7-4030-9D03-FD75542927F8}"/>
            </c:ext>
          </c:extLst>
        </c:ser>
        <c:ser>
          <c:idx val="3"/>
          <c:order val="3"/>
          <c:spPr>
            <a:solidFill>
              <a:srgbClr val="72599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3 Años'!$B$2:$D$2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'Proyección 3 Años'!$B$14</c:f>
              <c:numCache>
                <c:formatCode>\$#,##0;"($"#,##0\);\-</c:formatCode>
                <c:ptCount val="1"/>
                <c:pt idx="0">
                  <c:v>758000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E7-4030-9D03-FD75542927F8}"/>
            </c:ext>
          </c:extLst>
        </c:ser>
        <c:ser>
          <c:idx val="4"/>
          <c:order val="4"/>
          <c:spPr>
            <a:solidFill>
              <a:srgbClr val="4299B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3 Años'!$B$2:$D$2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'Proyección 3 Años'!$C$14</c:f>
              <c:numCache>
                <c:formatCode>\$#,##0;"($"#,##0\);\-</c:formatCode>
                <c:ptCount val="1"/>
                <c:pt idx="0">
                  <c:v>960000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E7-4030-9D03-FD75542927F8}"/>
            </c:ext>
          </c:extLst>
        </c:ser>
        <c:ser>
          <c:idx val="5"/>
          <c:order val="5"/>
          <c:spPr>
            <a:solidFill>
              <a:srgbClr val="DC853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3 Años'!$B$2:$D$2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'Proyección 3 Años'!$D$14</c:f>
              <c:numCache>
                <c:formatCode>\$#,##0;"($"#,##0\);\-</c:formatCode>
                <c:ptCount val="1"/>
                <c:pt idx="0">
                  <c:v>1250000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E7-4030-9D03-FD75542927F8}"/>
            </c:ext>
          </c:extLst>
        </c:ser>
        <c:ser>
          <c:idx val="6"/>
          <c:order val="6"/>
          <c:spPr>
            <a:solidFill>
              <a:srgbClr val="93A9C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3 Años'!$B$2:$D$2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'Proyección 3 Años'!$B$16</c:f>
              <c:numCache>
                <c:formatCode>\$#,##0;"($"#,##0\);\-</c:formatCode>
                <c:ptCount val="1"/>
                <c:pt idx="0">
                  <c:v>-75000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E7-4030-9D03-FD75542927F8}"/>
            </c:ext>
          </c:extLst>
        </c:ser>
        <c:ser>
          <c:idx val="7"/>
          <c:order val="7"/>
          <c:spPr>
            <a:solidFill>
              <a:srgbClr val="D0949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3 Años'!$B$2:$D$2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'Proyección 3 Años'!$C$16</c:f>
              <c:numCache>
                <c:formatCode>\$#,##0;"($"#,##0\);\-</c:formatCode>
                <c:ptCount val="1"/>
                <c:pt idx="0">
                  <c:v>380000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E7-4030-9D03-FD75542927F8}"/>
            </c:ext>
          </c:extLst>
        </c:ser>
        <c:ser>
          <c:idx val="8"/>
          <c:order val="8"/>
          <c:spPr>
            <a:solidFill>
              <a:srgbClr val="B8CD9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'Proyección 3 Años'!$B$2:$D$2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'Proyección 3 Años'!$D$16</c:f>
              <c:numCache>
                <c:formatCode>\$#,##0;"($"#,##0\);\-</c:formatCode>
                <c:ptCount val="1"/>
                <c:pt idx="0">
                  <c:v>910000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E7-4030-9D03-FD7554292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063568"/>
        <c:axId val="2561433"/>
      </c:barChart>
      <c:catAx>
        <c:axId val="4506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MX"/>
          </a:p>
        </c:txPr>
        <c:crossAx val="2561433"/>
        <c:crosses val="autoZero"/>
        <c:auto val="1"/>
        <c:lblAlgn val="ctr"/>
        <c:lblOffset val="100"/>
        <c:noMultiLvlLbl val="0"/>
      </c:catAx>
      <c:valAx>
        <c:axId val="2561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MX"/>
          </a:p>
        </c:txPr>
        <c:crossAx val="450635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MX" sz="1800" b="1" u="none" strike="noStrike">
                <a:solidFill>
                  <a:srgbClr val="000000"/>
                </a:solidFill>
                <a:uFillTx/>
                <a:latin typeface="Calibri"/>
              </a:rPr>
              <a:t>Ingresos vs Costos Fijos — Punto de Equilibrio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4840">
              <a:solidFill>
                <a:srgbClr val="6B21A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'Punto de Equilibrio'!$A$10:$A$21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'Punto de Equilibrio'!$C$10:$C$21</c:f>
              <c:numCache>
                <c:formatCode>\$#,##0;"($"#,##0\);\-</c:formatCode>
                <c:ptCount val="12"/>
                <c:pt idx="0">
                  <c:v>3000</c:v>
                </c:pt>
                <c:pt idx="1">
                  <c:v>21500</c:v>
                </c:pt>
                <c:pt idx="2">
                  <c:v>34500</c:v>
                </c:pt>
                <c:pt idx="3">
                  <c:v>44500</c:v>
                </c:pt>
                <c:pt idx="4">
                  <c:v>49500</c:v>
                </c:pt>
                <c:pt idx="5">
                  <c:v>62000</c:v>
                </c:pt>
                <c:pt idx="6">
                  <c:v>70500</c:v>
                </c:pt>
                <c:pt idx="7">
                  <c:v>73500</c:v>
                </c:pt>
                <c:pt idx="8">
                  <c:v>83000</c:v>
                </c:pt>
                <c:pt idx="9">
                  <c:v>88000</c:v>
                </c:pt>
                <c:pt idx="10">
                  <c:v>96500</c:v>
                </c:pt>
                <c:pt idx="11">
                  <c:v>106500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91-4A59-86E1-03EAFF90A8DA}"/>
            </c:ext>
          </c:extLst>
        </c:ser>
        <c:ser>
          <c:idx val="1"/>
          <c:order val="1"/>
          <c:spPr>
            <a:ln w="20160">
              <a:solidFill>
                <a:srgbClr val="991B1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'Punto de Equilibrio'!$A$10:$A$21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'Punto de Equilibrio'!$B$10:$B$21</c:f>
              <c:numCache>
                <c:formatCode>\$#,##0;"($"#,##0\);\-</c:formatCode>
                <c:ptCount val="12"/>
                <c:pt idx="0">
                  <c:v>46000</c:v>
                </c:pt>
                <c:pt idx="1">
                  <c:v>46000</c:v>
                </c:pt>
                <c:pt idx="2">
                  <c:v>46000</c:v>
                </c:pt>
                <c:pt idx="3">
                  <c:v>46000</c:v>
                </c:pt>
                <c:pt idx="4">
                  <c:v>46000</c:v>
                </c:pt>
                <c:pt idx="5">
                  <c:v>46000</c:v>
                </c:pt>
                <c:pt idx="6">
                  <c:v>54500</c:v>
                </c:pt>
                <c:pt idx="7">
                  <c:v>54500</c:v>
                </c:pt>
                <c:pt idx="8">
                  <c:v>54500</c:v>
                </c:pt>
                <c:pt idx="9">
                  <c:v>54500</c:v>
                </c:pt>
                <c:pt idx="10">
                  <c:v>54500</c:v>
                </c:pt>
                <c:pt idx="11">
                  <c:v>54500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91-4A59-86E1-03EAFF90A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498028"/>
        <c:axId val="87006507"/>
      </c:lineChart>
      <c:catAx>
        <c:axId val="274980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MX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MX"/>
          </a:p>
        </c:txPr>
        <c:crossAx val="87006507"/>
        <c:crosses val="autoZero"/>
        <c:auto val="1"/>
        <c:lblAlgn val="ctr"/>
        <c:lblOffset val="100"/>
        <c:noMultiLvlLbl val="0"/>
      </c:catAx>
      <c:valAx>
        <c:axId val="87006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MX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MXN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MX"/>
          </a:p>
        </c:txPr>
        <c:crossAx val="274980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6</xdr:col>
      <xdr:colOff>518760</xdr:colOff>
      <xdr:row>43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23</xdr:col>
      <xdr:colOff>442800</xdr:colOff>
      <xdr:row>43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5</xdr:col>
      <xdr:colOff>25200</xdr:colOff>
      <xdr:row>48</xdr:row>
      <xdr:rowOff>107640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7</xdr:col>
      <xdr:colOff>604440</xdr:colOff>
      <xdr:row>48</xdr:row>
      <xdr:rowOff>86400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showGridLines="0" tabSelected="1" zoomScaleNormal="100" workbookViewId="0">
      <selection activeCell="D12" sqref="D12"/>
    </sheetView>
  </sheetViews>
  <sheetFormatPr baseColWidth="10" defaultColWidth="8.7109375" defaultRowHeight="15" x14ac:dyDescent="0.25"/>
  <cols>
    <col min="1" max="1" width="30" customWidth="1"/>
    <col min="2" max="2" width="22" customWidth="1"/>
    <col min="3" max="3" width="30" customWidth="1"/>
    <col min="4" max="4" width="22" customWidth="1"/>
  </cols>
  <sheetData>
    <row r="1" spans="1:4" ht="39.75" customHeight="1" x14ac:dyDescent="0.25">
      <c r="A1" s="14" t="s">
        <v>0</v>
      </c>
      <c r="B1" s="14"/>
      <c r="C1" s="13" t="s">
        <v>1</v>
      </c>
      <c r="D1" s="13"/>
    </row>
    <row r="2" spans="1:4" x14ac:dyDescent="0.25">
      <c r="A2" s="12" t="s">
        <v>2</v>
      </c>
      <c r="B2" s="12"/>
      <c r="C2" s="12"/>
      <c r="D2" s="12"/>
    </row>
    <row r="4" spans="1:4" x14ac:dyDescent="0.25">
      <c r="A4" s="15" t="s">
        <v>3</v>
      </c>
      <c r="B4" s="16" t="s">
        <v>4</v>
      </c>
      <c r="C4" s="17" t="s">
        <v>5</v>
      </c>
      <c r="D4" s="18" t="s">
        <v>6</v>
      </c>
    </row>
    <row r="5" spans="1:4" ht="33.75" customHeight="1" x14ac:dyDescent="0.25">
      <c r="A5" s="19">
        <f>'Indicadores Financieros'!B5*-1</f>
        <v>281000</v>
      </c>
      <c r="B5" s="20">
        <f>'Proyección 3 Años'!B6</f>
        <v>56500</v>
      </c>
      <c r="C5" s="21">
        <f>'Indicadores Financieros'!B14</f>
        <v>1.1804593149178655</v>
      </c>
      <c r="D5" s="22">
        <f>'Indicadores Financieros'!B16</f>
        <v>1371173.9130434785</v>
      </c>
    </row>
    <row r="6" spans="1:4" x14ac:dyDescent="0.25">
      <c r="A6" s="23"/>
      <c r="B6" s="23"/>
      <c r="C6" s="23"/>
      <c r="D6" s="23"/>
    </row>
    <row r="7" spans="1:4" x14ac:dyDescent="0.25">
      <c r="A7" s="24" t="s">
        <v>7</v>
      </c>
      <c r="B7" s="25" t="s">
        <v>8</v>
      </c>
      <c r="C7" s="16" t="s">
        <v>9</v>
      </c>
      <c r="D7" s="15" t="s">
        <v>10</v>
      </c>
    </row>
    <row r="8" spans="1:4" ht="33.75" customHeight="1" x14ac:dyDescent="0.25">
      <c r="A8" s="26">
        <f>'Proyección 3 Años'!B14</f>
        <v>758000</v>
      </c>
      <c r="B8" s="27" t="s">
        <v>11</v>
      </c>
      <c r="C8" s="28">
        <f>'Indicadores Financieros'!B15</f>
        <v>0.83378946392851572</v>
      </c>
      <c r="D8" s="29">
        <f>'Proyección 3 Años'!D14</f>
        <v>1250000</v>
      </c>
    </row>
    <row r="10" spans="1:4" x14ac:dyDescent="0.25">
      <c r="A10" s="11" t="s">
        <v>12</v>
      </c>
      <c r="B10" s="11"/>
      <c r="C10" s="11"/>
      <c r="D10" s="11"/>
    </row>
  </sheetData>
  <mergeCells count="4">
    <mergeCell ref="A1:B1"/>
    <mergeCell ref="C1:D1"/>
    <mergeCell ref="A2:D2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showGridLines="0" topLeftCell="A41" zoomScaleNormal="100" workbookViewId="0">
      <selection sqref="A1:C1"/>
    </sheetView>
  </sheetViews>
  <sheetFormatPr baseColWidth="10" defaultColWidth="8.7109375" defaultRowHeight="15" x14ac:dyDescent="0.25"/>
  <cols>
    <col min="1" max="1" width="38" customWidth="1"/>
    <col min="2" max="2" width="20" customWidth="1"/>
    <col min="3" max="3" width="30" customWidth="1"/>
  </cols>
  <sheetData>
    <row r="1" spans="1:3" ht="27.75" customHeight="1" x14ac:dyDescent="0.25">
      <c r="A1" s="10" t="s">
        <v>13</v>
      </c>
      <c r="B1" s="10"/>
      <c r="C1" s="10"/>
    </row>
    <row r="2" spans="1:3" x14ac:dyDescent="0.25">
      <c r="A2" s="9" t="s">
        <v>14</v>
      </c>
      <c r="B2" s="9"/>
      <c r="C2" s="9"/>
    </row>
    <row r="4" spans="1:3" x14ac:dyDescent="0.25">
      <c r="A4" s="8" t="s">
        <v>15</v>
      </c>
      <c r="B4" s="8"/>
      <c r="C4" s="8"/>
    </row>
    <row r="5" spans="1:3" x14ac:dyDescent="0.25">
      <c r="A5" s="30" t="s">
        <v>16</v>
      </c>
      <c r="B5" s="30" t="s">
        <v>17</v>
      </c>
      <c r="C5" s="30" t="s">
        <v>18</v>
      </c>
    </row>
    <row r="6" spans="1:3" ht="25.5" x14ac:dyDescent="0.25">
      <c r="A6" s="31" t="s">
        <v>19</v>
      </c>
      <c r="B6" s="32">
        <v>8000</v>
      </c>
      <c r="C6" s="33" t="s">
        <v>20</v>
      </c>
    </row>
    <row r="7" spans="1:3" ht="25.5" x14ac:dyDescent="0.25">
      <c r="A7" s="31" t="s">
        <v>21</v>
      </c>
      <c r="B7" s="32">
        <v>3500</v>
      </c>
      <c r="C7" s="33" t="s">
        <v>22</v>
      </c>
    </row>
    <row r="8" spans="1:3" ht="25.5" x14ac:dyDescent="0.25">
      <c r="A8" s="31" t="s">
        <v>23</v>
      </c>
      <c r="B8" s="32">
        <v>2500</v>
      </c>
      <c r="C8" s="33" t="s">
        <v>24</v>
      </c>
    </row>
    <row r="9" spans="1:3" ht="25.5" x14ac:dyDescent="0.25">
      <c r="A9" s="31" t="s">
        <v>25</v>
      </c>
      <c r="B9" s="32">
        <v>6000</v>
      </c>
      <c r="C9" s="33" t="s">
        <v>26</v>
      </c>
    </row>
    <row r="10" spans="1:3" ht="25.5" x14ac:dyDescent="0.25">
      <c r="A10" s="31" t="s">
        <v>27</v>
      </c>
      <c r="B10" s="32">
        <v>25000</v>
      </c>
      <c r="C10" s="33" t="s">
        <v>28</v>
      </c>
    </row>
    <row r="11" spans="1:3" ht="25.5" x14ac:dyDescent="0.25">
      <c r="A11" s="31" t="s">
        <v>29</v>
      </c>
      <c r="B11" s="32">
        <v>27000</v>
      </c>
      <c r="C11" s="33" t="s">
        <v>30</v>
      </c>
    </row>
    <row r="12" spans="1:3" ht="25.5" x14ac:dyDescent="0.25">
      <c r="A12" s="31" t="s">
        <v>31</v>
      </c>
      <c r="B12" s="32">
        <v>12000</v>
      </c>
      <c r="C12" s="33" t="s">
        <v>32</v>
      </c>
    </row>
    <row r="13" spans="1:3" ht="25.5" x14ac:dyDescent="0.25">
      <c r="A13" s="31" t="s">
        <v>33</v>
      </c>
      <c r="B13" s="32">
        <v>11000</v>
      </c>
      <c r="C13" s="33" t="s">
        <v>34</v>
      </c>
    </row>
    <row r="14" spans="1:3" ht="25.5" x14ac:dyDescent="0.25">
      <c r="A14" s="31" t="s">
        <v>35</v>
      </c>
      <c r="B14" s="32">
        <v>28000</v>
      </c>
      <c r="C14" s="33" t="s">
        <v>36</v>
      </c>
    </row>
    <row r="15" spans="1:3" ht="25.5" x14ac:dyDescent="0.25">
      <c r="A15" s="31" t="s">
        <v>37</v>
      </c>
      <c r="B15" s="32">
        <v>13000</v>
      </c>
      <c r="C15" s="33" t="s">
        <v>38</v>
      </c>
    </row>
    <row r="16" spans="1:3" ht="25.5" x14ac:dyDescent="0.25">
      <c r="A16" s="31" t="s">
        <v>39</v>
      </c>
      <c r="B16" s="32">
        <v>16000</v>
      </c>
      <c r="C16" s="33" t="s">
        <v>40</v>
      </c>
    </row>
    <row r="17" spans="1:3" ht="25.5" x14ac:dyDescent="0.25">
      <c r="A17" s="31" t="s">
        <v>41</v>
      </c>
      <c r="B17" s="32">
        <v>14000</v>
      </c>
      <c r="C17" s="33" t="s">
        <v>42</v>
      </c>
    </row>
    <row r="18" spans="1:3" ht="25.5" x14ac:dyDescent="0.25">
      <c r="A18" s="31" t="s">
        <v>43</v>
      </c>
      <c r="B18" s="32">
        <v>8000</v>
      </c>
      <c r="C18" s="33" t="s">
        <v>44</v>
      </c>
    </row>
    <row r="19" spans="1:3" ht="25.5" x14ac:dyDescent="0.25">
      <c r="A19" s="31" t="s">
        <v>45</v>
      </c>
      <c r="B19" s="32">
        <v>6000</v>
      </c>
      <c r="C19" s="33" t="s">
        <v>46</v>
      </c>
    </row>
    <row r="20" spans="1:3" x14ac:dyDescent="0.25">
      <c r="A20" s="31" t="s">
        <v>47</v>
      </c>
      <c r="B20" s="32">
        <v>3000</v>
      </c>
      <c r="C20" s="33" t="s">
        <v>48</v>
      </c>
    </row>
    <row r="21" spans="1:3" ht="25.5" x14ac:dyDescent="0.25">
      <c r="A21" s="31" t="s">
        <v>49</v>
      </c>
      <c r="B21" s="32">
        <v>14000</v>
      </c>
      <c r="C21" s="33" t="s">
        <v>50</v>
      </c>
    </row>
    <row r="22" spans="1:3" ht="25.5" x14ac:dyDescent="0.25">
      <c r="A22" s="31" t="s">
        <v>51</v>
      </c>
      <c r="B22" s="32">
        <v>4000</v>
      </c>
      <c r="C22" s="33" t="s">
        <v>52</v>
      </c>
    </row>
    <row r="23" spans="1:3" ht="25.5" x14ac:dyDescent="0.25">
      <c r="A23" s="31" t="s">
        <v>53</v>
      </c>
      <c r="B23" s="32">
        <v>8000</v>
      </c>
      <c r="C23" s="33" t="s">
        <v>54</v>
      </c>
    </row>
    <row r="24" spans="1:3" ht="25.5" x14ac:dyDescent="0.25">
      <c r="A24" s="31" t="s">
        <v>55</v>
      </c>
      <c r="B24" s="32">
        <v>20000</v>
      </c>
      <c r="C24" s="33" t="s">
        <v>56</v>
      </c>
    </row>
    <row r="25" spans="1:3" ht="25.5" x14ac:dyDescent="0.25">
      <c r="A25" s="31" t="s">
        <v>57</v>
      </c>
      <c r="B25" s="32">
        <v>26000</v>
      </c>
      <c r="C25" s="33" t="s">
        <v>58</v>
      </c>
    </row>
    <row r="26" spans="1:3" ht="15" customHeight="1" x14ac:dyDescent="0.25">
      <c r="A26" s="31" t="s">
        <v>59</v>
      </c>
      <c r="B26" s="32">
        <v>25500</v>
      </c>
      <c r="C26" s="33" t="s">
        <v>60</v>
      </c>
    </row>
    <row r="27" spans="1:3" x14ac:dyDescent="0.25">
      <c r="A27" s="34" t="s">
        <v>61</v>
      </c>
      <c r="B27" s="35">
        <f>SUM(B6:B26)</f>
        <v>280500</v>
      </c>
      <c r="C27" s="23"/>
    </row>
    <row r="29" spans="1:3" x14ac:dyDescent="0.25">
      <c r="A29" s="7" t="s">
        <v>62</v>
      </c>
      <c r="B29" s="7"/>
      <c r="C29" s="7"/>
    </row>
    <row r="30" spans="1:3" ht="30" customHeight="1" x14ac:dyDescent="0.25">
      <c r="A30" s="30" t="s">
        <v>63</v>
      </c>
      <c r="B30" s="36" t="s">
        <v>64</v>
      </c>
      <c r="C30" s="36" t="s">
        <v>65</v>
      </c>
    </row>
    <row r="31" spans="1:3" x14ac:dyDescent="0.25">
      <c r="A31" s="37" t="s">
        <v>66</v>
      </c>
      <c r="B31" s="38">
        <v>18000</v>
      </c>
      <c r="C31" s="38">
        <v>22000</v>
      </c>
    </row>
    <row r="32" spans="1:3" x14ac:dyDescent="0.25">
      <c r="A32" s="39" t="s">
        <v>67</v>
      </c>
      <c r="B32" s="40">
        <v>7500</v>
      </c>
      <c r="C32" s="40">
        <v>7500</v>
      </c>
    </row>
    <row r="33" spans="1:3" x14ac:dyDescent="0.25">
      <c r="A33" s="37" t="s">
        <v>68</v>
      </c>
      <c r="B33" s="38">
        <v>7000</v>
      </c>
      <c r="C33" s="38">
        <v>7000</v>
      </c>
    </row>
    <row r="34" spans="1:3" x14ac:dyDescent="0.25">
      <c r="A34" s="39" t="s">
        <v>69</v>
      </c>
      <c r="B34" s="40">
        <v>2500</v>
      </c>
      <c r="C34" s="40">
        <v>2500</v>
      </c>
    </row>
    <row r="35" spans="1:3" x14ac:dyDescent="0.25">
      <c r="A35" s="37" t="s">
        <v>70</v>
      </c>
      <c r="B35" s="38">
        <v>1500</v>
      </c>
      <c r="C35" s="38">
        <v>1500</v>
      </c>
    </row>
    <row r="36" spans="1:3" x14ac:dyDescent="0.25">
      <c r="A36" s="39" t="s">
        <v>71</v>
      </c>
      <c r="B36" s="40">
        <v>2000</v>
      </c>
      <c r="C36" s="40">
        <v>3000</v>
      </c>
    </row>
    <row r="37" spans="1:3" x14ac:dyDescent="0.25">
      <c r="A37" s="37" t="s">
        <v>72</v>
      </c>
      <c r="B37" s="38">
        <v>1000</v>
      </c>
      <c r="C37" s="38">
        <v>2000</v>
      </c>
    </row>
    <row r="38" spans="1:3" ht="15" customHeight="1" x14ac:dyDescent="0.25">
      <c r="A38" s="39" t="s">
        <v>73</v>
      </c>
      <c r="B38" s="40">
        <v>4500</v>
      </c>
      <c r="C38" s="40">
        <v>6500</v>
      </c>
    </row>
    <row r="39" spans="1:3" x14ac:dyDescent="0.25">
      <c r="A39" s="37" t="s">
        <v>74</v>
      </c>
      <c r="B39" s="38">
        <v>1500</v>
      </c>
      <c r="C39" s="38">
        <v>2000</v>
      </c>
    </row>
    <row r="40" spans="1:3" x14ac:dyDescent="0.25">
      <c r="A40" s="39" t="s">
        <v>75</v>
      </c>
      <c r="B40" s="40">
        <v>500</v>
      </c>
      <c r="C40" s="40">
        <v>500</v>
      </c>
    </row>
    <row r="41" spans="1:3" x14ac:dyDescent="0.25">
      <c r="A41" s="34" t="s">
        <v>76</v>
      </c>
      <c r="B41" s="35">
        <f>SUM(B31:B40)</f>
        <v>46000</v>
      </c>
      <c r="C41" s="35">
        <f>SUM(C31:C40)</f>
        <v>54500</v>
      </c>
    </row>
    <row r="43" spans="1:3" x14ac:dyDescent="0.25">
      <c r="A43" s="7" t="s">
        <v>77</v>
      </c>
      <c r="B43" s="7"/>
      <c r="C43" s="7"/>
    </row>
    <row r="44" spans="1:3" ht="30" customHeight="1" x14ac:dyDescent="0.25">
      <c r="A44" s="30" t="s">
        <v>78</v>
      </c>
      <c r="B44" s="36" t="s">
        <v>79</v>
      </c>
      <c r="C44" s="36" t="s">
        <v>80</v>
      </c>
    </row>
    <row r="45" spans="1:3" x14ac:dyDescent="0.25">
      <c r="A45" s="37" t="s">
        <v>81</v>
      </c>
      <c r="B45" s="38">
        <v>22000</v>
      </c>
      <c r="C45" s="38">
        <v>4000</v>
      </c>
    </row>
    <row r="46" spans="1:3" x14ac:dyDescent="0.25">
      <c r="A46" s="39" t="s">
        <v>82</v>
      </c>
      <c r="B46" s="40">
        <v>60000</v>
      </c>
      <c r="C46" s="40">
        <v>15000</v>
      </c>
    </row>
    <row r="47" spans="1:3" x14ac:dyDescent="0.25">
      <c r="A47" s="37" t="s">
        <v>83</v>
      </c>
      <c r="B47" s="38">
        <v>110000</v>
      </c>
      <c r="C47" s="38">
        <v>30000</v>
      </c>
    </row>
    <row r="48" spans="1:3" x14ac:dyDescent="0.25">
      <c r="A48" s="39" t="s">
        <v>84</v>
      </c>
      <c r="B48" s="40">
        <v>3000</v>
      </c>
      <c r="C48" s="40">
        <v>600</v>
      </c>
    </row>
    <row r="49" spans="1:3" x14ac:dyDescent="0.25">
      <c r="A49" s="37" t="s">
        <v>85</v>
      </c>
      <c r="B49" s="38">
        <v>6000</v>
      </c>
      <c r="C49" s="38">
        <v>1200</v>
      </c>
    </row>
    <row r="50" spans="1:3" x14ac:dyDescent="0.25">
      <c r="A50" s="39" t="s">
        <v>86</v>
      </c>
      <c r="B50" s="40">
        <v>900</v>
      </c>
      <c r="C50" s="40">
        <v>50</v>
      </c>
    </row>
    <row r="51" spans="1:3" x14ac:dyDescent="0.25">
      <c r="A51" s="37" t="s">
        <v>87</v>
      </c>
      <c r="B51" s="38">
        <v>2500</v>
      </c>
      <c r="C51" s="38">
        <v>900</v>
      </c>
    </row>
    <row r="52" spans="1:3" x14ac:dyDescent="0.25">
      <c r="A52" s="39" t="s">
        <v>88</v>
      </c>
      <c r="B52" s="40">
        <v>5000</v>
      </c>
      <c r="C52" s="40">
        <v>1800</v>
      </c>
    </row>
    <row r="53" spans="1:3" x14ac:dyDescent="0.25">
      <c r="A53" s="41" t="s">
        <v>89</v>
      </c>
      <c r="B53" s="42" t="s">
        <v>90</v>
      </c>
      <c r="C53" s="43" t="s">
        <v>91</v>
      </c>
    </row>
    <row r="55" spans="1:3" x14ac:dyDescent="0.25">
      <c r="A55" s="6" t="s">
        <v>92</v>
      </c>
      <c r="B55" s="6"/>
      <c r="C55" s="6"/>
    </row>
    <row r="56" spans="1:3" x14ac:dyDescent="0.25">
      <c r="A56" s="31" t="s">
        <v>93</v>
      </c>
      <c r="B56" s="45">
        <v>0.15</v>
      </c>
      <c r="C56" s="46" t="s">
        <v>94</v>
      </c>
    </row>
  </sheetData>
  <mergeCells count="6">
    <mergeCell ref="A55:C55"/>
    <mergeCell ref="A1:C1"/>
    <mergeCell ref="A2:C2"/>
    <mergeCell ref="A4:C4"/>
    <mergeCell ref="A29:C29"/>
    <mergeCell ref="A43:C4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showGridLines="0" zoomScaleNormal="100" workbookViewId="0">
      <selection sqref="A1:N1"/>
    </sheetView>
  </sheetViews>
  <sheetFormatPr baseColWidth="10" defaultColWidth="8.7109375" defaultRowHeight="15" x14ac:dyDescent="0.25"/>
  <cols>
    <col min="1" max="1" width="35" customWidth="1"/>
    <col min="2" max="14" width="14" customWidth="1"/>
  </cols>
  <sheetData>
    <row r="1" spans="1:14" ht="24.75" customHeight="1" x14ac:dyDescent="0.25">
      <c r="A1" s="5" t="s">
        <v>95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30" t="s">
        <v>16</v>
      </c>
      <c r="B2" s="25" t="s">
        <v>96</v>
      </c>
      <c r="C2" s="25" t="s">
        <v>97</v>
      </c>
      <c r="D2" s="25" t="s">
        <v>98</v>
      </c>
      <c r="E2" s="25" t="s">
        <v>99</v>
      </c>
      <c r="F2" s="25" t="s">
        <v>100</v>
      </c>
      <c r="G2" s="25" t="s">
        <v>101</v>
      </c>
      <c r="H2" s="25" t="s">
        <v>102</v>
      </c>
      <c r="I2" s="25" t="s">
        <v>103</v>
      </c>
      <c r="J2" s="25" t="s">
        <v>104</v>
      </c>
      <c r="K2" s="25" t="s">
        <v>105</v>
      </c>
      <c r="L2" s="25" t="s">
        <v>106</v>
      </c>
      <c r="M2" s="25" t="s">
        <v>107</v>
      </c>
      <c r="N2" s="15" t="s">
        <v>108</v>
      </c>
    </row>
    <row r="3" spans="1:14" x14ac:dyDescent="0.25">
      <c r="A3" s="7" t="s">
        <v>109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39" t="s">
        <v>110</v>
      </c>
      <c r="B4" s="40">
        <v>0</v>
      </c>
      <c r="C4" s="40">
        <v>18000</v>
      </c>
      <c r="D4" s="40">
        <v>28000</v>
      </c>
      <c r="E4" s="40">
        <v>35000</v>
      </c>
      <c r="F4" s="40">
        <v>37000</v>
      </c>
      <c r="G4" s="40">
        <v>45000</v>
      </c>
      <c r="H4" s="40">
        <v>50000</v>
      </c>
      <c r="I4" s="40">
        <v>50000</v>
      </c>
      <c r="J4" s="40">
        <v>56000</v>
      </c>
      <c r="K4" s="40">
        <v>58000</v>
      </c>
      <c r="L4" s="40">
        <v>63000</v>
      </c>
      <c r="M4" s="40">
        <v>70000</v>
      </c>
      <c r="N4" s="35">
        <f>SUM(B4:M4)</f>
        <v>510000</v>
      </c>
    </row>
    <row r="5" spans="1:14" x14ac:dyDescent="0.25">
      <c r="A5" s="37" t="s">
        <v>111</v>
      </c>
      <c r="B5" s="38">
        <v>0</v>
      </c>
      <c r="C5" s="38">
        <v>0</v>
      </c>
      <c r="D5" s="38">
        <v>2500</v>
      </c>
      <c r="E5" s="38">
        <v>5000</v>
      </c>
      <c r="F5" s="38">
        <v>7500</v>
      </c>
      <c r="G5" s="38">
        <v>10000</v>
      </c>
      <c r="H5" s="38">
        <v>12500</v>
      </c>
      <c r="I5" s="38">
        <v>15000</v>
      </c>
      <c r="J5" s="38">
        <v>17500</v>
      </c>
      <c r="K5" s="38">
        <v>20000</v>
      </c>
      <c r="L5" s="38">
        <v>22500</v>
      </c>
      <c r="M5" s="38">
        <v>25000</v>
      </c>
      <c r="N5" s="35">
        <f>SUM(B5:M5)</f>
        <v>137500</v>
      </c>
    </row>
    <row r="6" spans="1:14" x14ac:dyDescent="0.25">
      <c r="A6" s="39" t="s">
        <v>112</v>
      </c>
      <c r="B6" s="40">
        <v>3000</v>
      </c>
      <c r="C6" s="40">
        <v>3500</v>
      </c>
      <c r="D6" s="40">
        <v>4000</v>
      </c>
      <c r="E6" s="40">
        <v>4500</v>
      </c>
      <c r="F6" s="40">
        <v>5000</v>
      </c>
      <c r="G6" s="40">
        <v>5000</v>
      </c>
      <c r="H6" s="40">
        <v>5500</v>
      </c>
      <c r="I6" s="40">
        <v>5500</v>
      </c>
      <c r="J6" s="40">
        <v>6000</v>
      </c>
      <c r="K6" s="40">
        <v>6000</v>
      </c>
      <c r="L6" s="40">
        <v>6500</v>
      </c>
      <c r="M6" s="40">
        <v>6500</v>
      </c>
      <c r="N6" s="35">
        <f>SUM(B6:M6)</f>
        <v>61000</v>
      </c>
    </row>
    <row r="7" spans="1:14" x14ac:dyDescent="0.25">
      <c r="A7" s="37" t="s">
        <v>113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2000</v>
      </c>
      <c r="H7" s="38">
        <v>2500</v>
      </c>
      <c r="I7" s="38">
        <v>3000</v>
      </c>
      <c r="J7" s="38">
        <v>3500</v>
      </c>
      <c r="K7" s="38">
        <v>4000</v>
      </c>
      <c r="L7" s="38">
        <v>4500</v>
      </c>
      <c r="M7" s="38">
        <v>5000</v>
      </c>
      <c r="N7" s="35">
        <f>SUM(B7:M7)</f>
        <v>24500</v>
      </c>
    </row>
    <row r="8" spans="1:14" x14ac:dyDescent="0.25">
      <c r="A8" s="34" t="s">
        <v>114</v>
      </c>
      <c r="B8" s="47">
        <f t="shared" ref="B8:M8" si="0">SUM(B4:B7)</f>
        <v>3000</v>
      </c>
      <c r="C8" s="47">
        <f t="shared" si="0"/>
        <v>21500</v>
      </c>
      <c r="D8" s="47">
        <f t="shared" si="0"/>
        <v>34500</v>
      </c>
      <c r="E8" s="47">
        <f t="shared" si="0"/>
        <v>44500</v>
      </c>
      <c r="F8" s="47">
        <f t="shared" si="0"/>
        <v>49500</v>
      </c>
      <c r="G8" s="47">
        <f t="shared" si="0"/>
        <v>62000</v>
      </c>
      <c r="H8" s="47">
        <f t="shared" si="0"/>
        <v>70500</v>
      </c>
      <c r="I8" s="47">
        <f t="shared" si="0"/>
        <v>73500</v>
      </c>
      <c r="J8" s="47">
        <f t="shared" si="0"/>
        <v>83000</v>
      </c>
      <c r="K8" s="47">
        <f t="shared" si="0"/>
        <v>88000</v>
      </c>
      <c r="L8" s="47">
        <f t="shared" si="0"/>
        <v>96500</v>
      </c>
      <c r="M8" s="47">
        <f t="shared" si="0"/>
        <v>106500</v>
      </c>
      <c r="N8" s="35">
        <f>SUM(B8:M8)</f>
        <v>733000</v>
      </c>
    </row>
    <row r="9" spans="1:14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x14ac:dyDescent="0.25">
      <c r="A10" s="4" t="s">
        <v>115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37" t="s">
        <v>116</v>
      </c>
      <c r="B11" s="38">
        <v>46000</v>
      </c>
      <c r="C11" s="38">
        <v>46000</v>
      </c>
      <c r="D11" s="38">
        <v>46000</v>
      </c>
      <c r="E11" s="38">
        <v>46000</v>
      </c>
      <c r="F11" s="38">
        <v>46000</v>
      </c>
      <c r="G11" s="38">
        <v>46000</v>
      </c>
      <c r="H11" s="38">
        <v>54500</v>
      </c>
      <c r="I11" s="38">
        <v>54500</v>
      </c>
      <c r="J11" s="38">
        <v>54500</v>
      </c>
      <c r="K11" s="38">
        <v>54500</v>
      </c>
      <c r="L11" s="38">
        <v>54500</v>
      </c>
      <c r="M11" s="38">
        <v>54500</v>
      </c>
      <c r="N11" s="35">
        <f>SUM(B11:M11)</f>
        <v>603000</v>
      </c>
    </row>
    <row r="12" spans="1:14" x14ac:dyDescent="0.25">
      <c r="A12" s="39" t="s">
        <v>117</v>
      </c>
      <c r="B12" s="40">
        <v>0</v>
      </c>
      <c r="C12" s="40">
        <v>2000</v>
      </c>
      <c r="D12" s="40">
        <v>3500</v>
      </c>
      <c r="E12" s="40">
        <v>5000</v>
      </c>
      <c r="F12" s="40">
        <v>5500</v>
      </c>
      <c r="G12" s="40">
        <v>7000</v>
      </c>
      <c r="H12" s="40">
        <v>9000</v>
      </c>
      <c r="I12" s="40">
        <v>9500</v>
      </c>
      <c r="J12" s="40">
        <v>11000</v>
      </c>
      <c r="K12" s="40">
        <v>11500</v>
      </c>
      <c r="L12" s="40">
        <v>12500</v>
      </c>
      <c r="M12" s="40">
        <v>14000</v>
      </c>
      <c r="N12" s="35">
        <f>SUM(B12:M12)</f>
        <v>90500</v>
      </c>
    </row>
    <row r="13" spans="1:14" x14ac:dyDescent="0.25">
      <c r="A13" s="37" t="s">
        <v>118</v>
      </c>
      <c r="B13" s="38">
        <v>0</v>
      </c>
      <c r="C13" s="38">
        <v>0</v>
      </c>
      <c r="D13" s="38">
        <v>0</v>
      </c>
      <c r="E13" s="38">
        <v>4000</v>
      </c>
      <c r="F13" s="38">
        <v>4500</v>
      </c>
      <c r="G13" s="38">
        <v>6000</v>
      </c>
      <c r="H13" s="38">
        <v>7000</v>
      </c>
      <c r="I13" s="38">
        <v>7000</v>
      </c>
      <c r="J13" s="38">
        <v>8000</v>
      </c>
      <c r="K13" s="38">
        <v>8500</v>
      </c>
      <c r="L13" s="38">
        <v>9000</v>
      </c>
      <c r="M13" s="38">
        <v>10000</v>
      </c>
      <c r="N13" s="35">
        <f>SUM(B13:M13)</f>
        <v>64000</v>
      </c>
    </row>
    <row r="14" spans="1:14" x14ac:dyDescent="0.25">
      <c r="A14" s="41" t="s">
        <v>119</v>
      </c>
      <c r="B14" s="48">
        <f t="shared" ref="B14:N14" si="1">SUM(B11:B13)</f>
        <v>46000</v>
      </c>
      <c r="C14" s="48">
        <f t="shared" si="1"/>
        <v>48000</v>
      </c>
      <c r="D14" s="48">
        <f t="shared" si="1"/>
        <v>49500</v>
      </c>
      <c r="E14" s="48">
        <f t="shared" si="1"/>
        <v>55000</v>
      </c>
      <c r="F14" s="48">
        <f t="shared" si="1"/>
        <v>56000</v>
      </c>
      <c r="G14" s="48">
        <f t="shared" si="1"/>
        <v>59000</v>
      </c>
      <c r="H14" s="48">
        <f t="shared" si="1"/>
        <v>70500</v>
      </c>
      <c r="I14" s="48">
        <f t="shared" si="1"/>
        <v>71000</v>
      </c>
      <c r="J14" s="48">
        <f t="shared" si="1"/>
        <v>73500</v>
      </c>
      <c r="K14" s="48">
        <f t="shared" si="1"/>
        <v>74500</v>
      </c>
      <c r="L14" s="48">
        <f t="shared" si="1"/>
        <v>76000</v>
      </c>
      <c r="M14" s="48">
        <f t="shared" si="1"/>
        <v>78500</v>
      </c>
      <c r="N14" s="48">
        <f t="shared" si="1"/>
        <v>757500</v>
      </c>
    </row>
    <row r="15" spans="1:14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x14ac:dyDescent="0.25">
      <c r="A16" s="49" t="s">
        <v>120</v>
      </c>
      <c r="B16" s="50">
        <f t="shared" ref="B16:N16" si="2">B8-B14</f>
        <v>-43000</v>
      </c>
      <c r="C16" s="50">
        <f t="shared" si="2"/>
        <v>-26500</v>
      </c>
      <c r="D16" s="50">
        <f t="shared" si="2"/>
        <v>-15000</v>
      </c>
      <c r="E16" s="50">
        <f t="shared" si="2"/>
        <v>-10500</v>
      </c>
      <c r="F16" s="50">
        <f t="shared" si="2"/>
        <v>-6500</v>
      </c>
      <c r="G16" s="50">
        <f t="shared" si="2"/>
        <v>3000</v>
      </c>
      <c r="H16" s="50">
        <f t="shared" si="2"/>
        <v>0</v>
      </c>
      <c r="I16" s="50">
        <f t="shared" si="2"/>
        <v>2500</v>
      </c>
      <c r="J16" s="50">
        <f t="shared" si="2"/>
        <v>9500</v>
      </c>
      <c r="K16" s="50">
        <f t="shared" si="2"/>
        <v>13500</v>
      </c>
      <c r="L16" s="50">
        <f t="shared" si="2"/>
        <v>20500</v>
      </c>
      <c r="M16" s="50">
        <f t="shared" si="2"/>
        <v>28000</v>
      </c>
      <c r="N16" s="50">
        <f t="shared" si="2"/>
        <v>-24500</v>
      </c>
    </row>
    <row r="17" spans="1:14" x14ac:dyDescent="0.25">
      <c r="A17" s="44" t="s">
        <v>121</v>
      </c>
      <c r="B17" s="32">
        <f>-Supuestos!$B$27+B16</f>
        <v>-323500</v>
      </c>
      <c r="C17" s="32">
        <f t="shared" ref="C17:M17" si="3">B17+C16</f>
        <v>-350000</v>
      </c>
      <c r="D17" s="32">
        <f t="shared" si="3"/>
        <v>-365000</v>
      </c>
      <c r="E17" s="32">
        <f t="shared" si="3"/>
        <v>-375500</v>
      </c>
      <c r="F17" s="32">
        <f t="shared" si="3"/>
        <v>-382000</v>
      </c>
      <c r="G17" s="32">
        <f t="shared" si="3"/>
        <v>-379000</v>
      </c>
      <c r="H17" s="32">
        <f t="shared" si="3"/>
        <v>-379000</v>
      </c>
      <c r="I17" s="32">
        <f t="shared" si="3"/>
        <v>-376500</v>
      </c>
      <c r="J17" s="32">
        <f t="shared" si="3"/>
        <v>-367000</v>
      </c>
      <c r="K17" s="32">
        <f t="shared" si="3"/>
        <v>-353500</v>
      </c>
      <c r="L17" s="32">
        <f t="shared" si="3"/>
        <v>-333000</v>
      </c>
      <c r="M17" s="32">
        <f t="shared" si="3"/>
        <v>-305000</v>
      </c>
      <c r="N17" s="23"/>
    </row>
  </sheetData>
  <mergeCells count="3">
    <mergeCell ref="A1:N1"/>
    <mergeCell ref="A3:N3"/>
    <mergeCell ref="A10:N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showGridLines="0" zoomScaleNormal="100" workbookViewId="0">
      <selection sqref="A1:E1"/>
    </sheetView>
  </sheetViews>
  <sheetFormatPr baseColWidth="10" defaultColWidth="8.7109375" defaultRowHeight="15" x14ac:dyDescent="0.25"/>
  <cols>
    <col min="1" max="1" width="40" customWidth="1"/>
    <col min="2" max="5" width="18" customWidth="1"/>
  </cols>
  <sheetData>
    <row r="1" spans="1:5" ht="24.75" customHeight="1" x14ac:dyDescent="0.25">
      <c r="A1" s="5" t="s">
        <v>122</v>
      </c>
      <c r="B1" s="5"/>
      <c r="C1" s="5"/>
      <c r="D1" s="5"/>
      <c r="E1" s="5"/>
    </row>
    <row r="2" spans="1:5" x14ac:dyDescent="0.25">
      <c r="A2" s="30" t="s">
        <v>16</v>
      </c>
      <c r="B2" s="30" t="s">
        <v>123</v>
      </c>
      <c r="C2" s="30" t="s">
        <v>124</v>
      </c>
      <c r="D2" s="30" t="s">
        <v>125</v>
      </c>
      <c r="E2" s="51" t="s">
        <v>126</v>
      </c>
    </row>
    <row r="3" spans="1:5" x14ac:dyDescent="0.25">
      <c r="A3" s="7" t="s">
        <v>109</v>
      </c>
      <c r="B3" s="7"/>
      <c r="C3" s="7"/>
      <c r="D3" s="7"/>
      <c r="E3" s="7"/>
    </row>
    <row r="4" spans="1:5" x14ac:dyDescent="0.25">
      <c r="A4" s="39" t="s">
        <v>110</v>
      </c>
      <c r="B4" s="40">
        <v>456000</v>
      </c>
      <c r="C4" s="40">
        <v>700000</v>
      </c>
      <c r="D4" s="40">
        <v>1100000</v>
      </c>
      <c r="E4" s="52">
        <f>(C4-B4)/B4</f>
        <v>0.53508771929824561</v>
      </c>
    </row>
    <row r="5" spans="1:5" x14ac:dyDescent="0.25">
      <c r="A5" s="37" t="s">
        <v>127</v>
      </c>
      <c r="B5" s="38">
        <v>135000</v>
      </c>
      <c r="C5" s="38">
        <v>420000</v>
      </c>
      <c r="D5" s="38">
        <v>700000</v>
      </c>
      <c r="E5" s="53">
        <f>(C5-B5)/B5</f>
        <v>2.1111111111111112</v>
      </c>
    </row>
    <row r="6" spans="1:5" x14ac:dyDescent="0.25">
      <c r="A6" s="39" t="s">
        <v>128</v>
      </c>
      <c r="B6" s="40">
        <v>56500</v>
      </c>
      <c r="C6" s="40">
        <v>110000</v>
      </c>
      <c r="D6" s="40">
        <v>160000</v>
      </c>
      <c r="E6" s="52">
        <f>(C6-B6)/B6</f>
        <v>0.94690265486725667</v>
      </c>
    </row>
    <row r="7" spans="1:5" x14ac:dyDescent="0.25">
      <c r="A7" s="37" t="s">
        <v>129</v>
      </c>
      <c r="B7" s="38">
        <v>35500</v>
      </c>
      <c r="C7" s="38">
        <v>110000</v>
      </c>
      <c r="D7" s="38">
        <v>200000</v>
      </c>
      <c r="E7" s="53">
        <f>(C7-B7)/B7</f>
        <v>2.0985915492957745</v>
      </c>
    </row>
    <row r="8" spans="1:5" x14ac:dyDescent="0.25">
      <c r="A8" s="34" t="s">
        <v>114</v>
      </c>
      <c r="B8" s="47">
        <f>SUM(B4:B7)</f>
        <v>683000</v>
      </c>
      <c r="C8" s="47">
        <f>SUM(C4:C7)</f>
        <v>1340000</v>
      </c>
      <c r="D8" s="47">
        <f>SUM(D4:D7)</f>
        <v>2160000</v>
      </c>
      <c r="E8" s="54">
        <f>(C8-B8)/B8</f>
        <v>0.9619326500732065</v>
      </c>
    </row>
    <row r="9" spans="1:5" x14ac:dyDescent="0.25">
      <c r="A9" s="23"/>
      <c r="B9" s="23"/>
      <c r="C9" s="23"/>
      <c r="D9" s="23"/>
      <c r="E9" s="23"/>
    </row>
    <row r="10" spans="1:5" x14ac:dyDescent="0.25">
      <c r="A10" s="4" t="s">
        <v>115</v>
      </c>
      <c r="B10" s="4"/>
      <c r="C10" s="4"/>
      <c r="D10" s="4"/>
      <c r="E10" s="4"/>
    </row>
    <row r="11" spans="1:5" x14ac:dyDescent="0.25">
      <c r="A11" s="37" t="s">
        <v>116</v>
      </c>
      <c r="B11" s="38">
        <v>603000</v>
      </c>
      <c r="C11" s="38">
        <v>700000</v>
      </c>
      <c r="D11" s="38">
        <v>900000</v>
      </c>
      <c r="E11" s="53">
        <f>(C11-B11)/B11</f>
        <v>0.16086235489220563</v>
      </c>
    </row>
    <row r="12" spans="1:5" x14ac:dyDescent="0.25">
      <c r="A12" s="39" t="s">
        <v>130</v>
      </c>
      <c r="B12" s="40">
        <v>91000</v>
      </c>
      <c r="C12" s="40">
        <v>130000</v>
      </c>
      <c r="D12" s="40">
        <v>190000</v>
      </c>
      <c r="E12" s="52">
        <f>(C12-B12)/B12</f>
        <v>0.42857142857142855</v>
      </c>
    </row>
    <row r="13" spans="1:5" x14ac:dyDescent="0.25">
      <c r="A13" s="37" t="s">
        <v>131</v>
      </c>
      <c r="B13" s="38">
        <v>64000</v>
      </c>
      <c r="C13" s="38">
        <v>130000</v>
      </c>
      <c r="D13" s="38">
        <v>160000</v>
      </c>
      <c r="E13" s="53">
        <f>(C13-B13)/B13</f>
        <v>1.03125</v>
      </c>
    </row>
    <row r="14" spans="1:5" x14ac:dyDescent="0.25">
      <c r="A14" s="41" t="s">
        <v>119</v>
      </c>
      <c r="B14" s="48">
        <f>SUM(B11:B13)</f>
        <v>758000</v>
      </c>
      <c r="C14" s="48">
        <f>SUM(C11:C13)</f>
        <v>960000</v>
      </c>
      <c r="D14" s="48">
        <f>SUM(D11:D13)</f>
        <v>1250000</v>
      </c>
      <c r="E14" s="55">
        <f>(C14-B14)/B14</f>
        <v>0.26649076517150394</v>
      </c>
    </row>
    <row r="15" spans="1:5" x14ac:dyDescent="0.25">
      <c r="A15" s="23"/>
      <c r="B15" s="23"/>
      <c r="C15" s="23"/>
      <c r="D15" s="23"/>
      <c r="E15" s="23"/>
    </row>
    <row r="16" spans="1:5" x14ac:dyDescent="0.25">
      <c r="A16" s="49" t="s">
        <v>132</v>
      </c>
      <c r="B16" s="56">
        <f>B8-B14</f>
        <v>-75000</v>
      </c>
      <c r="C16" s="56">
        <f>C8-C14</f>
        <v>380000</v>
      </c>
      <c r="D16" s="56">
        <f>D8-D14</f>
        <v>910000</v>
      </c>
      <c r="E16" s="57">
        <f>(C16-B16)/ABS(B16)</f>
        <v>6.0666666666666664</v>
      </c>
    </row>
    <row r="17" spans="1:5" x14ac:dyDescent="0.25">
      <c r="A17" s="49" t="s">
        <v>133</v>
      </c>
      <c r="B17" s="57">
        <f>B16/B8</f>
        <v>-0.10980966325036604</v>
      </c>
      <c r="C17" s="57">
        <f>C16/C8</f>
        <v>0.28358208955223879</v>
      </c>
      <c r="D17" s="57">
        <f>D16/D8</f>
        <v>0.42129629629629628</v>
      </c>
      <c r="E17" s="23"/>
    </row>
    <row r="18" spans="1:5" x14ac:dyDescent="0.25">
      <c r="A18" s="23"/>
      <c r="B18" s="23"/>
      <c r="C18" s="23"/>
      <c r="D18" s="23"/>
      <c r="E18" s="23"/>
    </row>
    <row r="19" spans="1:5" x14ac:dyDescent="0.25">
      <c r="A19" s="6" t="s">
        <v>134</v>
      </c>
      <c r="B19" s="6"/>
      <c r="C19" s="6"/>
      <c r="D19" s="6"/>
      <c r="E19" s="6"/>
    </row>
    <row r="20" spans="1:5" x14ac:dyDescent="0.25">
      <c r="A20" s="39" t="s">
        <v>135</v>
      </c>
      <c r="B20" s="58" t="s">
        <v>136</v>
      </c>
      <c r="C20" s="58" t="s">
        <v>137</v>
      </c>
      <c r="D20" s="58" t="s">
        <v>138</v>
      </c>
      <c r="E20" s="23"/>
    </row>
    <row r="21" spans="1:5" x14ac:dyDescent="0.25">
      <c r="A21" s="37" t="s">
        <v>139</v>
      </c>
      <c r="B21" s="59" t="s">
        <v>140</v>
      </c>
      <c r="C21" s="59" t="s">
        <v>141</v>
      </c>
      <c r="D21" s="59" t="s">
        <v>142</v>
      </c>
      <c r="E21" s="23"/>
    </row>
    <row r="22" spans="1:5" x14ac:dyDescent="0.25">
      <c r="A22" s="39" t="s">
        <v>143</v>
      </c>
      <c r="B22" s="58" t="s">
        <v>144</v>
      </c>
      <c r="C22" s="58" t="s">
        <v>145</v>
      </c>
      <c r="D22" s="58" t="s">
        <v>146</v>
      </c>
      <c r="E22" s="23"/>
    </row>
  </sheetData>
  <mergeCells count="4">
    <mergeCell ref="A1:E1"/>
    <mergeCell ref="A3:E3"/>
    <mergeCell ref="A10:E10"/>
    <mergeCell ref="A19:E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showGridLines="0" topLeftCell="A21" zoomScaleNormal="100" workbookViewId="0">
      <selection sqref="A1:N1"/>
    </sheetView>
  </sheetViews>
  <sheetFormatPr baseColWidth="10" defaultColWidth="8.7109375" defaultRowHeight="15" x14ac:dyDescent="0.25"/>
  <cols>
    <col min="1" max="1" width="36" customWidth="1"/>
    <col min="2" max="14" width="13" customWidth="1"/>
  </cols>
  <sheetData>
    <row r="1" spans="1:14" ht="15.75" x14ac:dyDescent="0.25">
      <c r="A1" s="5" t="s">
        <v>147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5">
      <c r="A3" s="3" t="s">
        <v>148</v>
      </c>
      <c r="B3" s="3"/>
      <c r="C3" s="3"/>
      <c r="D3" s="3"/>
    </row>
    <row r="4" spans="1:14" x14ac:dyDescent="0.25">
      <c r="A4" s="60" t="s">
        <v>149</v>
      </c>
      <c r="B4" s="61">
        <v>46000</v>
      </c>
    </row>
    <row r="5" spans="1:14" x14ac:dyDescent="0.25">
      <c r="A5" s="60" t="s">
        <v>150</v>
      </c>
      <c r="B5" s="62">
        <v>0.72</v>
      </c>
    </row>
    <row r="6" spans="1:14" x14ac:dyDescent="0.25">
      <c r="A6" s="60" t="s">
        <v>151</v>
      </c>
      <c r="B6" s="63">
        <f>B4/B5</f>
        <v>63888.888888888891</v>
      </c>
    </row>
    <row r="8" spans="1:14" x14ac:dyDescent="0.25">
      <c r="A8" s="2" t="s">
        <v>152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7.75" customHeight="1" x14ac:dyDescent="0.25">
      <c r="A9" s="64" t="s">
        <v>153</v>
      </c>
      <c r="B9" s="64" t="s">
        <v>154</v>
      </c>
      <c r="C9" s="64" t="s">
        <v>155</v>
      </c>
      <c r="D9" s="64" t="s">
        <v>156</v>
      </c>
      <c r="E9" s="64" t="s">
        <v>157</v>
      </c>
      <c r="F9" s="64" t="s">
        <v>158</v>
      </c>
    </row>
    <row r="10" spans="1:14" x14ac:dyDescent="0.25">
      <c r="A10" s="65" t="s">
        <v>96</v>
      </c>
      <c r="B10" s="66">
        <v>46000</v>
      </c>
      <c r="C10" s="67">
        <v>3000</v>
      </c>
      <c r="D10" s="66">
        <f t="shared" ref="D10:D21" si="0">C10-B10</f>
        <v>-43000</v>
      </c>
      <c r="E10" s="68" t="s">
        <v>159</v>
      </c>
      <c r="F10" s="66">
        <f t="shared" ref="F10:F21" si="1">$B$4</f>
        <v>46000</v>
      </c>
    </row>
    <row r="11" spans="1:14" x14ac:dyDescent="0.25">
      <c r="A11" s="65" t="s">
        <v>97</v>
      </c>
      <c r="B11" s="66">
        <v>46000</v>
      </c>
      <c r="C11" s="67">
        <v>21500</v>
      </c>
      <c r="D11" s="66">
        <f t="shared" si="0"/>
        <v>-24500</v>
      </c>
      <c r="E11" s="68" t="s">
        <v>159</v>
      </c>
      <c r="F11" s="66">
        <f t="shared" si="1"/>
        <v>46000</v>
      </c>
    </row>
    <row r="12" spans="1:14" x14ac:dyDescent="0.25">
      <c r="A12" s="65" t="s">
        <v>98</v>
      </c>
      <c r="B12" s="66">
        <v>46000</v>
      </c>
      <c r="C12" s="67">
        <v>34500</v>
      </c>
      <c r="D12" s="66">
        <f t="shared" si="0"/>
        <v>-11500</v>
      </c>
      <c r="E12" s="68" t="s">
        <v>159</v>
      </c>
      <c r="F12" s="66">
        <f t="shared" si="1"/>
        <v>46000</v>
      </c>
    </row>
    <row r="13" spans="1:14" x14ac:dyDescent="0.25">
      <c r="A13" s="65" t="s">
        <v>99</v>
      </c>
      <c r="B13" s="66">
        <v>46000</v>
      </c>
      <c r="C13" s="67">
        <v>44500</v>
      </c>
      <c r="D13" s="66">
        <f t="shared" si="0"/>
        <v>-1500</v>
      </c>
      <c r="E13" s="68" t="s">
        <v>159</v>
      </c>
      <c r="F13" s="66">
        <f t="shared" si="1"/>
        <v>46000</v>
      </c>
    </row>
    <row r="14" spans="1:14" x14ac:dyDescent="0.25">
      <c r="A14" s="69" t="s">
        <v>100</v>
      </c>
      <c r="B14" s="70">
        <v>46000</v>
      </c>
      <c r="C14" s="71">
        <v>49500</v>
      </c>
      <c r="D14" s="70">
        <f t="shared" si="0"/>
        <v>3500</v>
      </c>
      <c r="E14" s="72" t="s">
        <v>160</v>
      </c>
      <c r="F14" s="70">
        <f t="shared" si="1"/>
        <v>46000</v>
      </c>
    </row>
    <row r="15" spans="1:14" x14ac:dyDescent="0.25">
      <c r="A15" s="69" t="s">
        <v>101</v>
      </c>
      <c r="B15" s="70">
        <v>46000</v>
      </c>
      <c r="C15" s="71">
        <v>62000</v>
      </c>
      <c r="D15" s="70">
        <f t="shared" si="0"/>
        <v>16000</v>
      </c>
      <c r="E15" s="72" t="s">
        <v>160</v>
      </c>
      <c r="F15" s="70">
        <f t="shared" si="1"/>
        <v>46000</v>
      </c>
    </row>
    <row r="16" spans="1:14" x14ac:dyDescent="0.25">
      <c r="A16" s="69" t="s">
        <v>102</v>
      </c>
      <c r="B16" s="70">
        <v>54500</v>
      </c>
      <c r="C16" s="71">
        <v>70500</v>
      </c>
      <c r="D16" s="70">
        <f t="shared" si="0"/>
        <v>16000</v>
      </c>
      <c r="E16" s="72" t="s">
        <v>160</v>
      </c>
      <c r="F16" s="70">
        <f t="shared" si="1"/>
        <v>46000</v>
      </c>
    </row>
    <row r="17" spans="1:6" x14ac:dyDescent="0.25">
      <c r="A17" s="69" t="s">
        <v>103</v>
      </c>
      <c r="B17" s="70">
        <v>54500</v>
      </c>
      <c r="C17" s="71">
        <v>73500</v>
      </c>
      <c r="D17" s="70">
        <f t="shared" si="0"/>
        <v>19000</v>
      </c>
      <c r="E17" s="72" t="s">
        <v>160</v>
      </c>
      <c r="F17" s="70">
        <f t="shared" si="1"/>
        <v>46000</v>
      </c>
    </row>
    <row r="18" spans="1:6" x14ac:dyDescent="0.25">
      <c r="A18" s="69" t="s">
        <v>104</v>
      </c>
      <c r="B18" s="70">
        <v>54500</v>
      </c>
      <c r="C18" s="71">
        <v>83000</v>
      </c>
      <c r="D18" s="70">
        <f t="shared" si="0"/>
        <v>28500</v>
      </c>
      <c r="E18" s="72" t="s">
        <v>160</v>
      </c>
      <c r="F18" s="70">
        <f t="shared" si="1"/>
        <v>46000</v>
      </c>
    </row>
    <row r="19" spans="1:6" x14ac:dyDescent="0.25">
      <c r="A19" s="69" t="s">
        <v>105</v>
      </c>
      <c r="B19" s="70">
        <v>54500</v>
      </c>
      <c r="C19" s="71">
        <v>88000</v>
      </c>
      <c r="D19" s="70">
        <f t="shared" si="0"/>
        <v>33500</v>
      </c>
      <c r="E19" s="72" t="s">
        <v>160</v>
      </c>
      <c r="F19" s="70">
        <f t="shared" si="1"/>
        <v>46000</v>
      </c>
    </row>
    <row r="20" spans="1:6" x14ac:dyDescent="0.25">
      <c r="A20" s="69" t="s">
        <v>106</v>
      </c>
      <c r="B20" s="70">
        <v>54500</v>
      </c>
      <c r="C20" s="71">
        <v>96500</v>
      </c>
      <c r="D20" s="70">
        <f t="shared" si="0"/>
        <v>42000</v>
      </c>
      <c r="E20" s="72" t="s">
        <v>160</v>
      </c>
      <c r="F20" s="70">
        <f t="shared" si="1"/>
        <v>46000</v>
      </c>
    </row>
    <row r="21" spans="1:6" x14ac:dyDescent="0.25">
      <c r="A21" s="69" t="s">
        <v>107</v>
      </c>
      <c r="B21" s="70">
        <v>54500</v>
      </c>
      <c r="C21" s="71">
        <v>106500</v>
      </c>
      <c r="D21" s="70">
        <f t="shared" si="0"/>
        <v>52000</v>
      </c>
      <c r="E21" s="72" t="s">
        <v>160</v>
      </c>
      <c r="F21" s="70">
        <f t="shared" si="1"/>
        <v>46000</v>
      </c>
    </row>
  </sheetData>
  <mergeCells count="3">
    <mergeCell ref="A1:N1"/>
    <mergeCell ref="A3:D3"/>
    <mergeCell ref="A8:N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"/>
  <sheetViews>
    <sheetView showGridLines="0" zoomScaleNormal="100" workbookViewId="0">
      <selection activeCell="B16" sqref="B16"/>
    </sheetView>
  </sheetViews>
  <sheetFormatPr baseColWidth="10" defaultColWidth="8.7109375" defaultRowHeight="15" x14ac:dyDescent="0.25"/>
  <cols>
    <col min="1" max="1" width="38" customWidth="1"/>
    <col min="2" max="2" width="20" customWidth="1"/>
    <col min="3" max="3" width="35" customWidth="1"/>
  </cols>
  <sheetData>
    <row r="1" spans="1:3" ht="24.75" customHeight="1" x14ac:dyDescent="0.25">
      <c r="A1" s="5" t="s">
        <v>161</v>
      </c>
      <c r="B1" s="5"/>
      <c r="C1" s="5"/>
    </row>
    <row r="3" spans="1:3" x14ac:dyDescent="0.25">
      <c r="A3" s="8" t="s">
        <v>162</v>
      </c>
      <c r="B3" s="8"/>
      <c r="C3" s="8"/>
    </row>
    <row r="4" spans="1:3" x14ac:dyDescent="0.25">
      <c r="A4" s="73" t="s">
        <v>163</v>
      </c>
      <c r="B4" s="73" t="s">
        <v>164</v>
      </c>
      <c r="C4" s="73" t="s">
        <v>165</v>
      </c>
    </row>
    <row r="5" spans="1:3" x14ac:dyDescent="0.25">
      <c r="A5" s="74" t="s">
        <v>166</v>
      </c>
      <c r="B5" s="75">
        <v>-281000</v>
      </c>
      <c r="C5" s="76" t="s">
        <v>167</v>
      </c>
    </row>
    <row r="6" spans="1:3" x14ac:dyDescent="0.25">
      <c r="A6" s="74" t="s">
        <v>123</v>
      </c>
      <c r="B6" s="75">
        <v>-25000</v>
      </c>
      <c r="C6" s="76" t="s">
        <v>168</v>
      </c>
    </row>
    <row r="7" spans="1:3" x14ac:dyDescent="0.25">
      <c r="A7" s="37" t="s">
        <v>124</v>
      </c>
      <c r="B7" s="38">
        <v>500000</v>
      </c>
      <c r="C7" s="77" t="s">
        <v>169</v>
      </c>
    </row>
    <row r="8" spans="1:3" x14ac:dyDescent="0.25">
      <c r="A8" s="39" t="s">
        <v>125</v>
      </c>
      <c r="B8" s="40">
        <v>900000</v>
      </c>
      <c r="C8" s="78" t="s">
        <v>170</v>
      </c>
    </row>
    <row r="9" spans="1:3" x14ac:dyDescent="0.25">
      <c r="A9" s="37" t="s">
        <v>171</v>
      </c>
      <c r="B9" s="38">
        <v>1400000</v>
      </c>
      <c r="C9" s="77" t="s">
        <v>172</v>
      </c>
    </row>
    <row r="10" spans="1:3" x14ac:dyDescent="0.25">
      <c r="A10" s="39" t="s">
        <v>173</v>
      </c>
      <c r="B10" s="40">
        <v>1900000</v>
      </c>
      <c r="C10" s="78" t="s">
        <v>174</v>
      </c>
    </row>
    <row r="12" spans="1:3" x14ac:dyDescent="0.25">
      <c r="A12" s="8" t="s">
        <v>175</v>
      </c>
      <c r="B12" s="8"/>
      <c r="C12" s="8"/>
    </row>
    <row r="13" spans="1:3" x14ac:dyDescent="0.25">
      <c r="A13" s="30" t="s">
        <v>176</v>
      </c>
      <c r="B13" s="30" t="s">
        <v>177</v>
      </c>
      <c r="C13" s="30" t="s">
        <v>178</v>
      </c>
    </row>
    <row r="14" spans="1:3" ht="34.5" customHeight="1" x14ac:dyDescent="0.25">
      <c r="A14" s="79" t="s">
        <v>179</v>
      </c>
      <c r="B14" s="80">
        <f>IRR(B5:B10)</f>
        <v>1.1804593149178655</v>
      </c>
      <c r="C14" s="81" t="s">
        <v>180</v>
      </c>
    </row>
    <row r="15" spans="1:3" ht="34.5" customHeight="1" x14ac:dyDescent="0.25">
      <c r="A15" s="82" t="s">
        <v>181</v>
      </c>
      <c r="B15" s="80">
        <f>IRR(B5:B8)</f>
        <v>0.83378946392851572</v>
      </c>
      <c r="C15" s="83" t="s">
        <v>182</v>
      </c>
    </row>
    <row r="16" spans="1:3" ht="34.5" customHeight="1" x14ac:dyDescent="0.25">
      <c r="A16" s="79" t="s">
        <v>183</v>
      </c>
      <c r="B16" s="84">
        <f>NPV(Supuestos!$B$56,B10)+B5</f>
        <v>1371173.9130434785</v>
      </c>
      <c r="C16" s="81" t="s">
        <v>184</v>
      </c>
    </row>
    <row r="17" spans="1:3" ht="34.5" customHeight="1" x14ac:dyDescent="0.25">
      <c r="A17" s="82" t="s">
        <v>185</v>
      </c>
      <c r="B17" s="84">
        <f>NPV(Supuestos!$B$56,B6:B8)+B5</f>
        <v>667097.31240240019</v>
      </c>
      <c r="C17" s="83" t="s">
        <v>186</v>
      </c>
    </row>
    <row r="18" spans="1:3" ht="34.5" customHeight="1" x14ac:dyDescent="0.25">
      <c r="A18" s="79" t="s">
        <v>187</v>
      </c>
      <c r="B18" s="85" t="s">
        <v>188</v>
      </c>
      <c r="C18" s="81" t="s">
        <v>189</v>
      </c>
    </row>
    <row r="19" spans="1:3" ht="34.5" customHeight="1" x14ac:dyDescent="0.25">
      <c r="A19" s="82" t="s">
        <v>190</v>
      </c>
      <c r="B19" s="80">
        <f>B7/ABS(B5)</f>
        <v>1.7793594306049823</v>
      </c>
      <c r="C19" s="83" t="s">
        <v>191</v>
      </c>
    </row>
    <row r="20" spans="1:3" ht="34.5" customHeight="1" x14ac:dyDescent="0.25">
      <c r="A20" s="79" t="s">
        <v>192</v>
      </c>
      <c r="B20" s="86">
        <f>(B6+B7+B8)/ABS(B5)</f>
        <v>4.8932384341637007</v>
      </c>
      <c r="C20" s="81" t="s">
        <v>193</v>
      </c>
    </row>
    <row r="21" spans="1:3" ht="34.5" customHeight="1" x14ac:dyDescent="0.25">
      <c r="A21" s="82" t="s">
        <v>194</v>
      </c>
      <c r="B21" s="80" t="s">
        <v>195</v>
      </c>
      <c r="C21" s="83" t="s">
        <v>196</v>
      </c>
    </row>
    <row r="23" spans="1:3" x14ac:dyDescent="0.25">
      <c r="A23" s="3" t="s">
        <v>197</v>
      </c>
      <c r="B23" s="3"/>
      <c r="C23" s="3"/>
    </row>
    <row r="24" spans="1:3" ht="21.75" customHeight="1" x14ac:dyDescent="0.25">
      <c r="A24" s="1" t="s">
        <v>198</v>
      </c>
      <c r="B24" s="1"/>
      <c r="C24" s="1"/>
    </row>
    <row r="25" spans="1:3" ht="21.75" customHeight="1" x14ac:dyDescent="0.25">
      <c r="A25" s="1" t="s">
        <v>199</v>
      </c>
      <c r="B25" s="1"/>
      <c r="C25" s="1"/>
    </row>
    <row r="26" spans="1:3" ht="21.75" customHeight="1" x14ac:dyDescent="0.25">
      <c r="A26" s="1" t="s">
        <v>200</v>
      </c>
      <c r="B26" s="1"/>
      <c r="C26" s="1"/>
    </row>
    <row r="27" spans="1:3" ht="21.75" customHeight="1" x14ac:dyDescent="0.25">
      <c r="A27" s="1" t="s">
        <v>201</v>
      </c>
      <c r="B27" s="1"/>
      <c r="C27" s="1"/>
    </row>
    <row r="28" spans="1:3" ht="21.75" customHeight="1" x14ac:dyDescent="0.25">
      <c r="A28" s="1" t="s">
        <v>202</v>
      </c>
      <c r="B28" s="1"/>
      <c r="C28" s="1"/>
    </row>
  </sheetData>
  <mergeCells count="9">
    <mergeCell ref="A25:C25"/>
    <mergeCell ref="A26:C26"/>
    <mergeCell ref="A27:C27"/>
    <mergeCell ref="A28:C28"/>
    <mergeCell ref="A1:C1"/>
    <mergeCell ref="A3:C3"/>
    <mergeCell ref="A12:C12"/>
    <mergeCell ref="A23:C23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Supuestos</vt:lpstr>
      <vt:lpstr>Proyección Año 1</vt:lpstr>
      <vt:lpstr>Proyección 3 Años</vt:lpstr>
      <vt:lpstr>Punto de Equilibrio</vt:lpstr>
      <vt:lpstr>Indicadores Financieros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ANDRADE SALAZAR, IGNACIO</cp:lastModifiedBy>
  <cp:revision>1</cp:revision>
  <dcterms:created xsi:type="dcterms:W3CDTF">2026-05-09T23:29:02Z</dcterms:created>
  <dcterms:modified xsi:type="dcterms:W3CDTF">2026-05-10T00:08:51Z</dcterms:modified>
  <dc:language>en-US</dc:language>
</cp:coreProperties>
</file>